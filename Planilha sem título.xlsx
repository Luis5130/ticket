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a serem analisados" sheetId="1" r:id="rId4"/>
  </sheets>
  <definedNames/>
  <calcPr/>
</workbook>
</file>

<file path=xl/sharedStrings.xml><?xml version="1.0" encoding="utf-8"?>
<sst xmlns="http://schemas.openxmlformats.org/spreadsheetml/2006/main" count="1110" uniqueCount="340">
  <si>
    <t>cod_prestador</t>
  </si>
  <si>
    <t>Segmento</t>
  </si>
  <si>
    <t>UF</t>
  </si>
  <si>
    <t>Cidade</t>
  </si>
  <si>
    <t>Bairro</t>
  </si>
  <si>
    <t>Alocação Máxima</t>
  </si>
  <si>
    <t>Capacidade Informada</t>
  </si>
  <si>
    <t>GMV</t>
  </si>
  <si>
    <t>Necessidades</t>
  </si>
  <si>
    <t>Convertidas</t>
  </si>
  <si>
    <t>Conversão</t>
  </si>
  <si>
    <t>Contatos</t>
  </si>
  <si>
    <t>Respostas</t>
  </si>
  <si>
    <t>Taxa Resposta</t>
  </si>
  <si>
    <t>Tempo Resposta (h)</t>
  </si>
  <si>
    <t>Avaliação</t>
  </si>
  <si>
    <t>Taxa Avaliação</t>
  </si>
  <si>
    <t>Preço de Hospedagem</t>
  </si>
  <si>
    <t>1402434</t>
  </si>
  <si>
    <t>SP</t>
  </si>
  <si>
    <t>São Paulo</t>
  </si>
  <si>
    <t>Perdizes</t>
  </si>
  <si>
    <t>155313</t>
  </si>
  <si>
    <t>299821</t>
  </si>
  <si>
    <t>66415</t>
  </si>
  <si>
    <t>1600861</t>
  </si>
  <si>
    <t>423840</t>
  </si>
  <si>
    <t>1181408</t>
  </si>
  <si>
    <t>2304391</t>
  </si>
  <si>
    <t>3158818</t>
  </si>
  <si>
    <t>2915357</t>
  </si>
  <si>
    <t>166384</t>
  </si>
  <si>
    <t>1253962</t>
  </si>
  <si>
    <t>715172</t>
  </si>
  <si>
    <t>2492873</t>
  </si>
  <si>
    <t>861673</t>
  </si>
  <si>
    <t>2950383</t>
  </si>
  <si>
    <t>Aclimação</t>
  </si>
  <si>
    <t>1525360</t>
  </si>
  <si>
    <t>Alto De Pinheiros</t>
  </si>
  <si>
    <t>2247316</t>
  </si>
  <si>
    <t>2960306</t>
  </si>
  <si>
    <t>779415</t>
  </si>
  <si>
    <t>2010083</t>
  </si>
  <si>
    <t>Barra Funda</t>
  </si>
  <si>
    <t>2779675</t>
  </si>
  <si>
    <t>3290944</t>
  </si>
  <si>
    <t>1224098</t>
  </si>
  <si>
    <t>Bela Vista</t>
  </si>
  <si>
    <t>1542590</t>
  </si>
  <si>
    <t>1715007</t>
  </si>
  <si>
    <t>1715506</t>
  </si>
  <si>
    <t>1721852</t>
  </si>
  <si>
    <t>C</t>
  </si>
  <si>
    <t>1755649</t>
  </si>
  <si>
    <t>A</t>
  </si>
  <si>
    <t>2262</t>
  </si>
  <si>
    <t>2307534</t>
  </si>
  <si>
    <t>2531585</t>
  </si>
  <si>
    <t>312954</t>
  </si>
  <si>
    <t>3140276</t>
  </si>
  <si>
    <t>3276384</t>
  </si>
  <si>
    <t>3295711</t>
  </si>
  <si>
    <t>1852280</t>
  </si>
  <si>
    <t>Butantã</t>
  </si>
  <si>
    <t>2667190</t>
  </si>
  <si>
    <t>3109273</t>
  </si>
  <si>
    <t>396977</t>
  </si>
  <si>
    <t>D</t>
  </si>
  <si>
    <t>863180</t>
  </si>
  <si>
    <t>939146</t>
  </si>
  <si>
    <t>1544041</t>
  </si>
  <si>
    <t>Cambuci</t>
  </si>
  <si>
    <t>1704801</t>
  </si>
  <si>
    <t>180949</t>
  </si>
  <si>
    <t>2662795</t>
  </si>
  <si>
    <t>3027073</t>
  </si>
  <si>
    <t>3277574</t>
  </si>
  <si>
    <t>1130797</t>
  </si>
  <si>
    <t>Campo Belo</t>
  </si>
  <si>
    <t>1499414</t>
  </si>
  <si>
    <t>1688866</t>
  </si>
  <si>
    <t>1983484</t>
  </si>
  <si>
    <t>2176175</t>
  </si>
  <si>
    <t>3070902</t>
  </si>
  <si>
    <t>323964</t>
  </si>
  <si>
    <t>32532</t>
  </si>
  <si>
    <t>388003</t>
  </si>
  <si>
    <t>647659</t>
  </si>
  <si>
    <t>919193</t>
  </si>
  <si>
    <t>1838856</t>
  </si>
  <si>
    <t>Campo Limpo</t>
  </si>
  <si>
    <t>421320</t>
  </si>
  <si>
    <t>535586</t>
  </si>
  <si>
    <t>1592178</t>
  </si>
  <si>
    <t>Carrão</t>
  </si>
  <si>
    <t>833157</t>
  </si>
  <si>
    <t>1373127</t>
  </si>
  <si>
    <t>Cidade Líder</t>
  </si>
  <si>
    <t>164635</t>
  </si>
  <si>
    <t>2234988</t>
  </si>
  <si>
    <t>3267175</t>
  </si>
  <si>
    <t>138701</t>
  </si>
  <si>
    <t>Consolação</t>
  </si>
  <si>
    <t>1648186</t>
  </si>
  <si>
    <t>3241409</t>
  </si>
  <si>
    <t>3280207</t>
  </si>
  <si>
    <t>512829</t>
  </si>
  <si>
    <t>1928385</t>
  </si>
  <si>
    <t>Cursino</t>
  </si>
  <si>
    <t>2424086</t>
  </si>
  <si>
    <t>2560467</t>
  </si>
  <si>
    <t>3225981</t>
  </si>
  <si>
    <t>390472</t>
  </si>
  <si>
    <t>488862</t>
  </si>
  <si>
    <t>1019344</t>
  </si>
  <si>
    <t>Freguesia Do Ó</t>
  </si>
  <si>
    <t>10476</t>
  </si>
  <si>
    <t>1332627</t>
  </si>
  <si>
    <t>2974355</t>
  </si>
  <si>
    <t>3272238</t>
  </si>
  <si>
    <t>Indianópolis</t>
  </si>
  <si>
    <t>345948</t>
  </si>
  <si>
    <t>408978</t>
  </si>
  <si>
    <t>543883</t>
  </si>
  <si>
    <t>977395</t>
  </si>
  <si>
    <t>123029</t>
  </si>
  <si>
    <t>Ipiranga</t>
  </si>
  <si>
    <t>1590024</t>
  </si>
  <si>
    <t>2115811</t>
  </si>
  <si>
    <t>2365488</t>
  </si>
  <si>
    <t>2836826</t>
  </si>
  <si>
    <t>3278535</t>
  </si>
  <si>
    <t>516089</t>
  </si>
  <si>
    <t>539674</t>
  </si>
  <si>
    <t>2178108</t>
  </si>
  <si>
    <t>Itaim Bibi</t>
  </si>
  <si>
    <t>2413569</t>
  </si>
  <si>
    <t>534560</t>
  </si>
  <si>
    <t>2112671</t>
  </si>
  <si>
    <t>Itaquera</t>
  </si>
  <si>
    <t>619367</t>
  </si>
  <si>
    <t>2505663</t>
  </si>
  <si>
    <t>Jabaquara</t>
  </si>
  <si>
    <t>2511917</t>
  </si>
  <si>
    <t>260775</t>
  </si>
  <si>
    <t>2654776</t>
  </si>
  <si>
    <t>331396</t>
  </si>
  <si>
    <t>395773</t>
  </si>
  <si>
    <t>1298726</t>
  </si>
  <si>
    <t>Jardim Paulista</t>
  </si>
  <si>
    <t>1329830</t>
  </si>
  <si>
    <t>16800</t>
  </si>
  <si>
    <t>2712313</t>
  </si>
  <si>
    <t>2907954</t>
  </si>
  <si>
    <t>2915097</t>
  </si>
  <si>
    <t>2999053</t>
  </si>
  <si>
    <t>3052891</t>
  </si>
  <si>
    <t>3097829</t>
  </si>
  <si>
    <t>941866</t>
  </si>
  <si>
    <t>1521360</t>
  </si>
  <si>
    <t>Jardim Vera Cruz</t>
  </si>
  <si>
    <t>1365894</t>
  </si>
  <si>
    <t>Lapa</t>
  </si>
  <si>
    <t>3120521</t>
  </si>
  <si>
    <t>319033</t>
  </si>
  <si>
    <t>504833</t>
  </si>
  <si>
    <t>74646</t>
  </si>
  <si>
    <t>1774758</t>
  </si>
  <si>
    <t>Liberdade</t>
  </si>
  <si>
    <t>1834012</t>
  </si>
  <si>
    <t>2593366</t>
  </si>
  <si>
    <t>2718422</t>
  </si>
  <si>
    <t>978204</t>
  </si>
  <si>
    <t>1908959</t>
  </si>
  <si>
    <t>Moema</t>
  </si>
  <si>
    <t>2335558</t>
  </si>
  <si>
    <t>505410</t>
  </si>
  <si>
    <t>8465</t>
  </si>
  <si>
    <t>1363164</t>
  </si>
  <si>
    <t>Móoca</t>
  </si>
  <si>
    <t>3086394</t>
  </si>
  <si>
    <t>3114891</t>
  </si>
  <si>
    <t>532637</t>
  </si>
  <si>
    <t>62301</t>
  </si>
  <si>
    <t>9903</t>
  </si>
  <si>
    <t>1218</t>
  </si>
  <si>
    <t>Pinheiros</t>
  </si>
  <si>
    <t>163231</t>
  </si>
  <si>
    <t>1923814</t>
  </si>
  <si>
    <t>281408</t>
  </si>
  <si>
    <t>2841912</t>
  </si>
  <si>
    <t>2965170</t>
  </si>
  <si>
    <t>2978230</t>
  </si>
  <si>
    <t>3021004</t>
  </si>
  <si>
    <t>3192379</t>
  </si>
  <si>
    <t>3313810</t>
  </si>
  <si>
    <t>41208</t>
  </si>
  <si>
    <t>978307</t>
  </si>
  <si>
    <t>98457</t>
  </si>
  <si>
    <t>182612</t>
  </si>
  <si>
    <t>Pirituba</t>
  </si>
  <si>
    <t>2625031</t>
  </si>
  <si>
    <t>2708778</t>
  </si>
  <si>
    <t>24014</t>
  </si>
  <si>
    <t>Planalto Paulista</t>
  </si>
  <si>
    <t>3290101</t>
  </si>
  <si>
    <t>243258</t>
  </si>
  <si>
    <t>República</t>
  </si>
  <si>
    <t>2555414</t>
  </si>
  <si>
    <t>2995838</t>
  </si>
  <si>
    <t>377290</t>
  </si>
  <si>
    <t>752912</t>
  </si>
  <si>
    <t>2601821</t>
  </si>
  <si>
    <t>Sacomã</t>
  </si>
  <si>
    <t>2778144</t>
  </si>
  <si>
    <t>2926878</t>
  </si>
  <si>
    <t>3101068</t>
  </si>
  <si>
    <t>3282404</t>
  </si>
  <si>
    <t>544848</t>
  </si>
  <si>
    <t>1939142</t>
  </si>
  <si>
    <t>Santa Cecília</t>
  </si>
  <si>
    <t>2052731</t>
  </si>
  <si>
    <t>2058892</t>
  </si>
  <si>
    <t>2903846</t>
  </si>
  <si>
    <t>2981913</t>
  </si>
  <si>
    <t>2982998</t>
  </si>
  <si>
    <t>3027989</t>
  </si>
  <si>
    <t>537072</t>
  </si>
  <si>
    <t>1559918</t>
  </si>
  <si>
    <t>Santana</t>
  </si>
  <si>
    <t>1889418</t>
  </si>
  <si>
    <t>2589243</t>
  </si>
  <si>
    <t>2967311</t>
  </si>
  <si>
    <t>2987204</t>
  </si>
  <si>
    <t>3015437</t>
  </si>
  <si>
    <t>3269896</t>
  </si>
  <si>
    <t>1661000</t>
  </si>
  <si>
    <t>Santo Amaro</t>
  </si>
  <si>
    <t>1742021</t>
  </si>
  <si>
    <t>1809915</t>
  </si>
  <si>
    <t>1865715</t>
  </si>
  <si>
    <t>198813</t>
  </si>
  <si>
    <t>2604428</t>
  </si>
  <si>
    <t>3274770</t>
  </si>
  <si>
    <t>382281</t>
  </si>
  <si>
    <t>418914</t>
  </si>
  <si>
    <t>738613</t>
  </si>
  <si>
    <t>1193268</t>
  </si>
  <si>
    <t>Saúde</t>
  </si>
  <si>
    <t>1527436</t>
  </si>
  <si>
    <t>1708754</t>
  </si>
  <si>
    <t>1803527</t>
  </si>
  <si>
    <t>2090994</t>
  </si>
  <si>
    <t>2213756</t>
  </si>
  <si>
    <t>2516555</t>
  </si>
  <si>
    <t>2535931</t>
  </si>
  <si>
    <t>310274</t>
  </si>
  <si>
    <t>328505</t>
  </si>
  <si>
    <t>39924</t>
  </si>
  <si>
    <t>1074820</t>
  </si>
  <si>
    <t>Tatuapé</t>
  </si>
  <si>
    <t>1205346</t>
  </si>
  <si>
    <t>3298154</t>
  </si>
  <si>
    <t>367703</t>
  </si>
  <si>
    <t>924164</t>
  </si>
  <si>
    <t>95309</t>
  </si>
  <si>
    <t>2006489</t>
  </si>
  <si>
    <t>Tucuruvi</t>
  </si>
  <si>
    <t>2416933</t>
  </si>
  <si>
    <t>3035295</t>
  </si>
  <si>
    <t>1058727</t>
  </si>
  <si>
    <t>Vila Andrade</t>
  </si>
  <si>
    <t>125258</t>
  </si>
  <si>
    <t>1689493</t>
  </si>
  <si>
    <t>1833296</t>
  </si>
  <si>
    <t>2049454</t>
  </si>
  <si>
    <t>2452417</t>
  </si>
  <si>
    <t>2673565</t>
  </si>
  <si>
    <t>2695783</t>
  </si>
  <si>
    <t>2844240</t>
  </si>
  <si>
    <t>2886928</t>
  </si>
  <si>
    <t>3049533</t>
  </si>
  <si>
    <t>3130868</t>
  </si>
  <si>
    <t>753017</t>
  </si>
  <si>
    <t>1586401</t>
  </si>
  <si>
    <t>Vila Buarque</t>
  </si>
  <si>
    <t>175489</t>
  </si>
  <si>
    <t>547629</t>
  </si>
  <si>
    <t>610306</t>
  </si>
  <si>
    <t>1252161</t>
  </si>
  <si>
    <t>Vila Da Saúde</t>
  </si>
  <si>
    <t>405504</t>
  </si>
  <si>
    <t>67130</t>
  </si>
  <si>
    <t>2127646</t>
  </si>
  <si>
    <t>Vila Jaguara</t>
  </si>
  <si>
    <t>1250090</t>
  </si>
  <si>
    <t>Vila Leopoldina</t>
  </si>
  <si>
    <t>2309237</t>
  </si>
  <si>
    <t>515759</t>
  </si>
  <si>
    <t>2830936</t>
  </si>
  <si>
    <t>Vila Mariana</t>
  </si>
  <si>
    <t>1693204</t>
  </si>
  <si>
    <t>2782459</t>
  </si>
  <si>
    <t>1990262</t>
  </si>
  <si>
    <t>2940049</t>
  </si>
  <si>
    <t>2541813</t>
  </si>
  <si>
    <t>106583</t>
  </si>
  <si>
    <t>191583</t>
  </si>
  <si>
    <t>3270649</t>
  </si>
  <si>
    <t>3028291</t>
  </si>
  <si>
    <t>3201261</t>
  </si>
  <si>
    <t>3050323</t>
  </si>
  <si>
    <t>3203644</t>
  </si>
  <si>
    <t>2570351</t>
  </si>
  <si>
    <t>359421</t>
  </si>
  <si>
    <t>3074828</t>
  </si>
  <si>
    <t>1993688</t>
  </si>
  <si>
    <t>1686774</t>
  </si>
  <si>
    <t>445043</t>
  </si>
  <si>
    <t>193346</t>
  </si>
  <si>
    <t>Vila Nova Conceição</t>
  </si>
  <si>
    <t>43528</t>
  </si>
  <si>
    <t>3274142</t>
  </si>
  <si>
    <t>Vila Olímpia</t>
  </si>
  <si>
    <t>435264</t>
  </si>
  <si>
    <t>1339041</t>
  </si>
  <si>
    <t>Vila Prudente</t>
  </si>
  <si>
    <t>1422111</t>
  </si>
  <si>
    <t>1595821</t>
  </si>
  <si>
    <t>2083879</t>
  </si>
  <si>
    <t>Vila Regente Feijó</t>
  </si>
  <si>
    <t>2537449</t>
  </si>
  <si>
    <t>2630260</t>
  </si>
  <si>
    <t>Sem Contato</t>
  </si>
  <si>
    <t>3097063</t>
  </si>
  <si>
    <t>Vila Sônia</t>
  </si>
  <si>
    <t>3113615</t>
  </si>
  <si>
    <t>583246</t>
  </si>
  <si>
    <t>91948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</si>
</sst>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.00"/>
    <numFmt numFmtId="165" formatCode="#,0"/>
    <numFmt numFmtId="166" formatCode="&quot;R$&quot;\ #,0.00;-&quot;R$&quot;\ #,0.00;&quot;R$&quot;\ #,0.00"/>
    <numFmt numFmtId="167" formatCode="0.00%;-0.00%;0.00%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5" xfId="0" applyFont="1" applyNumberFormat="1"/>
    <xf borderId="0" fillId="0" fontId="1" numFmtId="166" xfId="0" applyFont="1" applyNumberFormat="1"/>
    <xf borderId="0" fillId="0" fontId="1" numFmtId="1" xfId="0" applyFont="1" applyNumberFormat="1"/>
    <xf borderId="0" fillId="0" fontId="1" numFmtId="167" xfId="0" applyFont="1" applyNumberFormat="1"/>
    <xf borderId="0" fillId="0" fontId="1" numFmtId="2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18" max="18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>
      <c r="A2" s="3" t="s">
        <v>18</v>
      </c>
      <c r="C2" s="3" t="s">
        <v>19</v>
      </c>
      <c r="D2" s="3" t="s">
        <v>20</v>
      </c>
      <c r="E2" s="3" t="s">
        <v>21</v>
      </c>
      <c r="F2" s="4">
        <v>30.0</v>
      </c>
      <c r="G2" s="4">
        <v>30.0</v>
      </c>
      <c r="H2" s="5">
        <v>96946.6902</v>
      </c>
      <c r="I2" s="6">
        <v>673.0</v>
      </c>
      <c r="J2" s="6">
        <v>265.0</v>
      </c>
      <c r="K2" s="7">
        <v>0.31698564593301437</v>
      </c>
      <c r="L2" s="6">
        <v>790.0</v>
      </c>
      <c r="M2" s="6">
        <v>781.0</v>
      </c>
      <c r="N2" s="7">
        <v>0.9886075949367089</v>
      </c>
      <c r="O2" s="8">
        <v>0.1184511939995662</v>
      </c>
      <c r="P2" s="3">
        <v>9.830508474576272</v>
      </c>
      <c r="Q2" s="7">
        <v>0.19865319865319866</v>
      </c>
      <c r="R2" s="9" t="str">
        <f>IFERROR(__xludf.DUMMYFUNCTION("FILTER('Extração 1'!C:C, 'Extração 1'!A:A = A2, 'Extração 1'!B:B = ""boarding"")"),"#REF!")</f>
        <v>#REF!</v>
      </c>
    </row>
    <row r="3">
      <c r="A3" s="3" t="s">
        <v>22</v>
      </c>
      <c r="C3" s="3" t="s">
        <v>19</v>
      </c>
      <c r="D3" s="3" t="s">
        <v>20</v>
      </c>
      <c r="E3" s="3" t="s">
        <v>21</v>
      </c>
      <c r="F3" s="4">
        <v>100.0</v>
      </c>
      <c r="G3" s="4">
        <v>100.0</v>
      </c>
      <c r="H3" s="5">
        <v>25256.999999999996</v>
      </c>
      <c r="I3" s="6">
        <v>293.0</v>
      </c>
      <c r="J3" s="6">
        <v>66.0</v>
      </c>
      <c r="K3" s="7">
        <v>0.18487394957983194</v>
      </c>
      <c r="L3" s="6">
        <v>314.0</v>
      </c>
      <c r="M3" s="6">
        <v>309.0</v>
      </c>
      <c r="N3" s="7">
        <v>0.9840764331210191</v>
      </c>
      <c r="O3" s="8">
        <v>0.198874211369357</v>
      </c>
      <c r="P3" s="3">
        <v>9.923076923076923</v>
      </c>
      <c r="Q3" s="7">
        <v>0.19117647058823528</v>
      </c>
      <c r="R3" s="9" t="str">
        <f>IFERROR(__xludf.DUMMYFUNCTION("FILTER('Extração 1'!C:C, 'Extração 1'!A:A = A3, 'Extração 1'!B:B = ""boarding"")"),"#REF!")</f>
        <v>#REF!</v>
      </c>
    </row>
    <row r="4">
      <c r="A4" s="3" t="s">
        <v>23</v>
      </c>
      <c r="C4" s="3" t="s">
        <v>19</v>
      </c>
      <c r="D4" s="3" t="s">
        <v>20</v>
      </c>
      <c r="E4" s="3" t="s">
        <v>21</v>
      </c>
      <c r="F4" s="4">
        <v>5.0</v>
      </c>
      <c r="G4" s="4">
        <v>5.0</v>
      </c>
      <c r="H4" s="5">
        <v>19113.67000000001</v>
      </c>
      <c r="I4" s="6">
        <v>159.0</v>
      </c>
      <c r="J4" s="6">
        <v>71.0</v>
      </c>
      <c r="K4" s="7">
        <v>0.39444444444444443</v>
      </c>
      <c r="L4" s="6">
        <v>170.0</v>
      </c>
      <c r="M4" s="6">
        <v>169.0</v>
      </c>
      <c r="N4" s="7">
        <v>0.9941176470588236</v>
      </c>
      <c r="O4" s="8">
        <v>0.5975938487195522</v>
      </c>
      <c r="P4" s="3">
        <v>10.0</v>
      </c>
      <c r="Q4" s="7">
        <v>0.2638888888888889</v>
      </c>
      <c r="R4" s="9" t="str">
        <f>IFERROR(__xludf.DUMMYFUNCTION("FILTER('Extração 1'!C:C, 'Extração 1'!A:A = A4, 'Extração 1'!B:B = ""boarding"")"),"#REF!")</f>
        <v>#REF!</v>
      </c>
    </row>
    <row r="5">
      <c r="A5" s="3" t="s">
        <v>24</v>
      </c>
      <c r="C5" s="3" t="s">
        <v>19</v>
      </c>
      <c r="D5" s="3" t="s">
        <v>20</v>
      </c>
      <c r="E5" s="3" t="s">
        <v>21</v>
      </c>
      <c r="F5" s="4">
        <v>6.0</v>
      </c>
      <c r="G5" s="4">
        <v>6.0</v>
      </c>
      <c r="H5" s="5">
        <v>13010.430000000002</v>
      </c>
      <c r="I5" s="6">
        <v>116.0</v>
      </c>
      <c r="J5" s="6">
        <v>34.0</v>
      </c>
      <c r="K5" s="7">
        <v>0.2518518518518518</v>
      </c>
      <c r="L5" s="6">
        <v>128.0</v>
      </c>
      <c r="M5" s="6">
        <v>121.0</v>
      </c>
      <c r="N5" s="7">
        <v>0.9453125</v>
      </c>
      <c r="O5" s="8">
        <v>0.1567468412548965</v>
      </c>
      <c r="P5" s="3">
        <v>10.0</v>
      </c>
      <c r="Q5" s="7">
        <v>0.29411764705882354</v>
      </c>
      <c r="R5" s="9" t="str">
        <f>IFERROR(__xludf.DUMMYFUNCTION("FILTER('Extração 1'!C:C, 'Extração 1'!A:A = A5, 'Extração 1'!B:B = ""boarding"")"),"#REF!")</f>
        <v>#REF!</v>
      </c>
    </row>
    <row r="6">
      <c r="A6" s="3" t="s">
        <v>25</v>
      </c>
      <c r="C6" s="3" t="s">
        <v>19</v>
      </c>
      <c r="D6" s="3" t="s">
        <v>20</v>
      </c>
      <c r="E6" s="3" t="s">
        <v>21</v>
      </c>
      <c r="F6" s="4">
        <v>8.0</v>
      </c>
      <c r="G6" s="4">
        <v>8.0</v>
      </c>
      <c r="H6" s="5">
        <v>21666.01</v>
      </c>
      <c r="I6" s="6">
        <v>67.0</v>
      </c>
      <c r="J6" s="6">
        <v>38.0</v>
      </c>
      <c r="K6" s="7">
        <v>0.5428571428571428</v>
      </c>
      <c r="L6" s="6">
        <v>65.0</v>
      </c>
      <c r="M6" s="6">
        <v>65.0</v>
      </c>
      <c r="N6" s="7">
        <v>1.0</v>
      </c>
      <c r="O6" s="8">
        <v>0.20973914865091337</v>
      </c>
      <c r="P6" s="3">
        <v>10.0</v>
      </c>
      <c r="Q6" s="7">
        <v>0.1</v>
      </c>
      <c r="R6" s="9" t="str">
        <f>IFERROR(__xludf.DUMMYFUNCTION("FILTER('Extração 1'!C:C, 'Extração 1'!A:A = A6, 'Extração 1'!B:B = ""boarding"")"),"#REF!")</f>
        <v>#REF!</v>
      </c>
    </row>
    <row r="7">
      <c r="A7" s="3" t="s">
        <v>26</v>
      </c>
      <c r="C7" s="3" t="s">
        <v>19</v>
      </c>
      <c r="D7" s="3" t="s">
        <v>20</v>
      </c>
      <c r="E7" s="3" t="s">
        <v>21</v>
      </c>
      <c r="F7" s="4">
        <v>4.0</v>
      </c>
      <c r="G7" s="4">
        <v>4.0</v>
      </c>
      <c r="H7" s="5">
        <v>14956.75</v>
      </c>
      <c r="I7" s="6">
        <v>51.0</v>
      </c>
      <c r="J7" s="6">
        <v>27.0</v>
      </c>
      <c r="K7" s="7">
        <v>0.5</v>
      </c>
      <c r="L7" s="6">
        <v>49.0</v>
      </c>
      <c r="M7" s="6">
        <v>48.0</v>
      </c>
      <c r="N7" s="7">
        <v>0.9795918367346939</v>
      </c>
      <c r="O7" s="8">
        <v>0.025122656955736223</v>
      </c>
      <c r="P7" s="3">
        <v>10.0</v>
      </c>
      <c r="Q7" s="7">
        <v>0.4482758620689655</v>
      </c>
      <c r="R7" s="9" t="str">
        <f>IFERROR(__xludf.DUMMYFUNCTION("FILTER('Extração 1'!C:C, 'Extração 1'!A:A = A7, 'Extração 1'!B:B = ""boarding"")"),"#REF!")</f>
        <v>#REF!</v>
      </c>
    </row>
    <row r="8">
      <c r="A8" s="3" t="s">
        <v>27</v>
      </c>
      <c r="C8" s="3" t="s">
        <v>19</v>
      </c>
      <c r="D8" s="3" t="s">
        <v>20</v>
      </c>
      <c r="E8" s="3" t="s">
        <v>21</v>
      </c>
      <c r="F8" s="4">
        <v>3.0</v>
      </c>
      <c r="G8" s="4">
        <v>3.0</v>
      </c>
      <c r="H8" s="5">
        <v>9343.84</v>
      </c>
      <c r="I8" s="6">
        <v>48.0</v>
      </c>
      <c r="J8" s="6">
        <v>19.0</v>
      </c>
      <c r="K8" s="7">
        <v>0.3275862068965517</v>
      </c>
      <c r="L8" s="6">
        <v>53.0</v>
      </c>
      <c r="M8" s="6">
        <v>49.0</v>
      </c>
      <c r="N8" s="7">
        <v>0.9245283018867925</v>
      </c>
      <c r="O8" s="8">
        <v>2.2338058324104835</v>
      </c>
      <c r="P8" s="3">
        <v>10.0</v>
      </c>
      <c r="Q8" s="7">
        <v>0.1111111111111111</v>
      </c>
      <c r="R8" s="9" t="str">
        <f>IFERROR(__xludf.DUMMYFUNCTION("FILTER('Extração 1'!C:C, 'Extração 1'!A:A = A8, 'Extração 1'!B:B = ""boarding"")"),"#REF!")</f>
        <v>#REF!</v>
      </c>
    </row>
    <row r="9">
      <c r="A9" s="3" t="s">
        <v>28</v>
      </c>
      <c r="C9" s="3" t="s">
        <v>19</v>
      </c>
      <c r="D9" s="3" t="s">
        <v>20</v>
      </c>
      <c r="E9" s="3" t="s">
        <v>21</v>
      </c>
      <c r="F9" s="4">
        <v>2.0</v>
      </c>
      <c r="G9" s="4">
        <v>2.0</v>
      </c>
      <c r="H9" s="5">
        <v>1093.1000000000001</v>
      </c>
      <c r="I9" s="6">
        <v>36.0</v>
      </c>
      <c r="J9" s="6">
        <v>5.0</v>
      </c>
      <c r="K9" s="7">
        <v>0.13513513513513514</v>
      </c>
      <c r="L9" s="6">
        <v>31.0</v>
      </c>
      <c r="M9" s="6">
        <v>31.0</v>
      </c>
      <c r="N9" s="7">
        <v>1.0</v>
      </c>
      <c r="O9" s="8">
        <v>0.5800755248335894</v>
      </c>
      <c r="P9" s="3">
        <v>10.0</v>
      </c>
      <c r="Q9" s="7">
        <v>0.5</v>
      </c>
      <c r="R9" s="9" t="str">
        <f>IFERROR(__xludf.DUMMYFUNCTION("FILTER('Extração 1'!C:C, 'Extração 1'!A:A = A9, 'Extração 1'!B:B = ""boarding"")"),"#REF!")</f>
        <v>#REF!</v>
      </c>
    </row>
    <row r="10">
      <c r="A10" s="3" t="s">
        <v>29</v>
      </c>
      <c r="C10" s="3" t="s">
        <v>19</v>
      </c>
      <c r="D10" s="3" t="s">
        <v>20</v>
      </c>
      <c r="E10" s="3" t="s">
        <v>21</v>
      </c>
      <c r="F10" s="4">
        <v>1.0</v>
      </c>
      <c r="G10" s="4">
        <v>1.0</v>
      </c>
      <c r="H10" s="5">
        <v>0.0</v>
      </c>
      <c r="I10" s="6">
        <v>32.0</v>
      </c>
      <c r="J10" s="6">
        <v>0.0</v>
      </c>
      <c r="K10" s="7">
        <v>0.0</v>
      </c>
      <c r="L10" s="6">
        <v>32.0</v>
      </c>
      <c r="M10" s="6">
        <v>25.0</v>
      </c>
      <c r="N10" s="7">
        <v>0.78125</v>
      </c>
      <c r="O10" s="8">
        <v>0.7617277777777778</v>
      </c>
      <c r="Q10" s="7"/>
      <c r="R10" s="9" t="str">
        <f>IFERROR(__xludf.DUMMYFUNCTION("FILTER('Extração 1'!C:C, 'Extração 1'!A:A = A10, 'Extração 1'!B:B = ""boarding"")"),"#REF!")</f>
        <v>#REF!</v>
      </c>
    </row>
    <row r="11">
      <c r="A11" s="3" t="s">
        <v>30</v>
      </c>
      <c r="C11" s="3" t="s">
        <v>19</v>
      </c>
      <c r="D11" s="3" t="s">
        <v>20</v>
      </c>
      <c r="E11" s="3" t="s">
        <v>21</v>
      </c>
      <c r="F11" s="4">
        <v>2.0</v>
      </c>
      <c r="G11" s="4">
        <v>2.0</v>
      </c>
      <c r="H11" s="5">
        <v>720.02</v>
      </c>
      <c r="I11" s="6">
        <v>22.0</v>
      </c>
      <c r="J11" s="6">
        <v>2.0</v>
      </c>
      <c r="K11" s="7">
        <v>0.08333333333333333</v>
      </c>
      <c r="L11" s="6">
        <v>24.0</v>
      </c>
      <c r="M11" s="6">
        <v>19.0</v>
      </c>
      <c r="N11" s="7">
        <v>0.7916666666666666</v>
      </c>
      <c r="O11" s="8">
        <v>0.3454464687359424</v>
      </c>
      <c r="Q11" s="7">
        <v>0.0</v>
      </c>
      <c r="R11" s="9" t="str">
        <f>IFERROR(__xludf.DUMMYFUNCTION("FILTER('Extração 1'!C:C, 'Extração 1'!A:A = A11, 'Extração 1'!B:B = ""boarding"")"),"#REF!")</f>
        <v>#REF!</v>
      </c>
    </row>
    <row r="12">
      <c r="A12" s="3" t="s">
        <v>31</v>
      </c>
      <c r="C12" s="3" t="s">
        <v>19</v>
      </c>
      <c r="D12" s="3" t="s">
        <v>20</v>
      </c>
      <c r="E12" s="3" t="s">
        <v>21</v>
      </c>
      <c r="F12" s="4">
        <v>2.0</v>
      </c>
      <c r="G12" s="4">
        <v>2.0</v>
      </c>
      <c r="H12" s="5">
        <v>1500.8</v>
      </c>
      <c r="I12" s="6">
        <v>19.0</v>
      </c>
      <c r="J12" s="6">
        <v>4.0</v>
      </c>
      <c r="K12" s="7">
        <v>0.2</v>
      </c>
      <c r="L12" s="6">
        <v>20.0</v>
      </c>
      <c r="M12" s="6">
        <v>18.0</v>
      </c>
      <c r="N12" s="7">
        <v>0.9</v>
      </c>
      <c r="O12" s="8">
        <v>0.4367438271604938</v>
      </c>
      <c r="P12" s="3">
        <v>10.0</v>
      </c>
      <c r="Q12" s="7">
        <v>0.5</v>
      </c>
      <c r="R12" s="9" t="str">
        <f>IFERROR(__xludf.DUMMYFUNCTION("FILTER('Extração 1'!C:C, 'Extração 1'!A:A = A12, 'Extração 1'!B:B = ""boarding"")"),"#REF!")</f>
        <v>#REF!</v>
      </c>
    </row>
    <row r="13">
      <c r="A13" s="3" t="s">
        <v>32</v>
      </c>
      <c r="C13" s="3" t="s">
        <v>19</v>
      </c>
      <c r="D13" s="3" t="s">
        <v>20</v>
      </c>
      <c r="E13" s="3" t="s">
        <v>21</v>
      </c>
      <c r="F13" s="4">
        <v>4.0</v>
      </c>
      <c r="G13" s="4">
        <v>4.0</v>
      </c>
      <c r="H13" s="5">
        <v>114.24</v>
      </c>
      <c r="I13" s="6">
        <v>11.0</v>
      </c>
      <c r="J13" s="6">
        <v>1.0</v>
      </c>
      <c r="K13" s="7">
        <v>0.0625</v>
      </c>
      <c r="L13" s="6">
        <v>16.0</v>
      </c>
      <c r="M13" s="6">
        <v>14.0</v>
      </c>
      <c r="N13" s="7">
        <v>0.875</v>
      </c>
      <c r="O13" s="8">
        <v>0.4669047619047619</v>
      </c>
      <c r="Q13" s="7">
        <v>0.0</v>
      </c>
      <c r="R13" s="9" t="str">
        <f>IFERROR(__xludf.DUMMYFUNCTION("FILTER('Extração 1'!C:C, 'Extração 1'!A:A = A13, 'Extração 1'!B:B = ""boarding"")"),"#REF!")</f>
        <v>#REF!</v>
      </c>
    </row>
    <row r="14">
      <c r="A14" s="3" t="s">
        <v>33</v>
      </c>
      <c r="C14" s="3" t="s">
        <v>19</v>
      </c>
      <c r="D14" s="3" t="s">
        <v>20</v>
      </c>
      <c r="E14" s="3" t="s">
        <v>21</v>
      </c>
      <c r="F14" s="4">
        <v>8.0</v>
      </c>
      <c r="G14" s="4">
        <v>8.0</v>
      </c>
      <c r="H14" s="5">
        <v>0.0</v>
      </c>
      <c r="I14" s="6">
        <v>4.0</v>
      </c>
      <c r="J14" s="6">
        <v>0.0</v>
      </c>
      <c r="K14" s="7">
        <v>0.0</v>
      </c>
      <c r="L14" s="6">
        <v>4.0</v>
      </c>
      <c r="M14" s="6">
        <v>0.0</v>
      </c>
      <c r="N14" s="7">
        <v>0.0</v>
      </c>
      <c r="O14" s="8"/>
      <c r="Q14" s="7"/>
      <c r="R14" s="9" t="str">
        <f>IFERROR(__xludf.DUMMYFUNCTION("FILTER('Extração 1'!C:C, 'Extração 1'!A:A = A14, 'Extração 1'!B:B = ""boarding"")"),"#REF!")</f>
        <v>#REF!</v>
      </c>
    </row>
    <row r="15">
      <c r="A15" s="3" t="s">
        <v>34</v>
      </c>
      <c r="C15" s="3" t="s">
        <v>19</v>
      </c>
      <c r="D15" s="3" t="s">
        <v>20</v>
      </c>
      <c r="E15" s="3" t="s">
        <v>21</v>
      </c>
      <c r="F15" s="4">
        <v>2.0</v>
      </c>
      <c r="G15" s="4">
        <v>2.0</v>
      </c>
      <c r="H15" s="5">
        <v>0.0</v>
      </c>
      <c r="I15" s="6">
        <v>3.0</v>
      </c>
      <c r="J15" s="6">
        <v>0.0</v>
      </c>
      <c r="K15" s="7">
        <v>0.0</v>
      </c>
      <c r="L15" s="6">
        <v>2.0</v>
      </c>
      <c r="M15" s="6">
        <v>2.0</v>
      </c>
      <c r="N15" s="7">
        <v>1.0</v>
      </c>
      <c r="O15" s="8">
        <v>0.5715277777777777</v>
      </c>
      <c r="Q15" s="7"/>
      <c r="R15" s="9" t="str">
        <f>IFERROR(__xludf.DUMMYFUNCTION("FILTER('Extração 1'!C:C, 'Extração 1'!A:A = A15, 'Extração 1'!B:B = ""boarding"")"),"#REF!")</f>
        <v>#REF!</v>
      </c>
    </row>
    <row r="16">
      <c r="A16" s="3" t="s">
        <v>35</v>
      </c>
      <c r="C16" s="3" t="s">
        <v>19</v>
      </c>
      <c r="D16" s="3" t="s">
        <v>20</v>
      </c>
      <c r="E16" s="3" t="s">
        <v>21</v>
      </c>
      <c r="F16" s="4">
        <v>2.0</v>
      </c>
      <c r="G16" s="4">
        <v>2.0</v>
      </c>
      <c r="H16" s="5">
        <v>0.0</v>
      </c>
      <c r="I16" s="6">
        <v>2.0</v>
      </c>
      <c r="J16" s="6">
        <v>0.0</v>
      </c>
      <c r="K16" s="7">
        <v>0.0</v>
      </c>
      <c r="L16" s="6">
        <v>1.0</v>
      </c>
      <c r="M16" s="6">
        <v>1.0</v>
      </c>
      <c r="N16" s="7">
        <v>1.0</v>
      </c>
      <c r="O16" s="8">
        <v>1.8275</v>
      </c>
      <c r="Q16" s="7"/>
      <c r="R16" s="9" t="str">
        <f>IFERROR(__xludf.DUMMYFUNCTION("FILTER('Extração 1'!C:C, 'Extração 1'!A:A = A16, 'Extração 1'!B:B = ""boarding"")"),"#REF!")</f>
        <v>#REF!</v>
      </c>
    </row>
    <row r="17">
      <c r="A17" s="3" t="s">
        <v>36</v>
      </c>
      <c r="C17" s="3" t="s">
        <v>19</v>
      </c>
      <c r="D17" s="3" t="s">
        <v>20</v>
      </c>
      <c r="E17" s="3" t="s">
        <v>37</v>
      </c>
      <c r="F17" s="4">
        <v>10.0</v>
      </c>
      <c r="G17" s="4">
        <v>10.0</v>
      </c>
      <c r="H17" s="5">
        <v>8846.800000000003</v>
      </c>
      <c r="I17" s="6">
        <v>112.0</v>
      </c>
      <c r="J17" s="6">
        <v>20.0</v>
      </c>
      <c r="K17" s="7">
        <v>0.14925373134328357</v>
      </c>
      <c r="L17" s="6">
        <v>126.0</v>
      </c>
      <c r="M17" s="6">
        <v>126.0</v>
      </c>
      <c r="N17" s="7">
        <v>1.0</v>
      </c>
      <c r="O17" s="8">
        <v>0.08093527871305649</v>
      </c>
      <c r="P17" s="3">
        <v>10.0</v>
      </c>
      <c r="Q17" s="7">
        <v>0.5</v>
      </c>
      <c r="R17" s="9" t="str">
        <f>IFERROR(__xludf.DUMMYFUNCTION("FILTER('Extração 1'!C:C, 'Extração 1'!A:A = A17, 'Extração 1'!B:B = ""boarding"")"),"#REF!")</f>
        <v>#REF!</v>
      </c>
    </row>
    <row r="18">
      <c r="A18" s="3" t="s">
        <v>38</v>
      </c>
      <c r="C18" s="3" t="s">
        <v>19</v>
      </c>
      <c r="D18" s="3" t="s">
        <v>20</v>
      </c>
      <c r="E18" s="3" t="s">
        <v>39</v>
      </c>
      <c r="F18" s="4">
        <v>3.0</v>
      </c>
      <c r="G18" s="4">
        <v>3.0</v>
      </c>
      <c r="H18" s="5">
        <v>9699.78</v>
      </c>
      <c r="I18" s="6">
        <v>58.0</v>
      </c>
      <c r="J18" s="6">
        <v>19.0</v>
      </c>
      <c r="K18" s="7">
        <v>0.2835820895522388</v>
      </c>
      <c r="L18" s="6">
        <v>61.0</v>
      </c>
      <c r="M18" s="6">
        <v>59.0</v>
      </c>
      <c r="N18" s="7">
        <v>0.9672131147540983</v>
      </c>
      <c r="O18" s="8">
        <v>0.36888344226579517</v>
      </c>
      <c r="P18" s="3">
        <v>10.0</v>
      </c>
      <c r="Q18" s="7">
        <v>0.21052631578947367</v>
      </c>
      <c r="R18" s="9" t="str">
        <f>IFERROR(__xludf.DUMMYFUNCTION("FILTER('Extração 1'!C:C, 'Extração 1'!A:A = A18, 'Extração 1'!B:B = ""boarding"")"),"#REF!")</f>
        <v>#REF!</v>
      </c>
    </row>
    <row r="19">
      <c r="A19" s="3" t="s">
        <v>40</v>
      </c>
      <c r="C19" s="3" t="s">
        <v>19</v>
      </c>
      <c r="D19" s="3" t="s">
        <v>20</v>
      </c>
      <c r="E19" s="3" t="s">
        <v>39</v>
      </c>
      <c r="F19" s="4">
        <v>5.0</v>
      </c>
      <c r="G19" s="4">
        <v>5.0</v>
      </c>
      <c r="H19" s="5">
        <v>6240.74</v>
      </c>
      <c r="I19" s="6">
        <v>78.0</v>
      </c>
      <c r="J19" s="6">
        <v>17.0</v>
      </c>
      <c r="K19" s="7">
        <v>0.2</v>
      </c>
      <c r="L19" s="6">
        <v>76.0</v>
      </c>
      <c r="M19" s="6">
        <v>76.0</v>
      </c>
      <c r="N19" s="7">
        <v>1.0</v>
      </c>
      <c r="O19" s="8">
        <v>0.03835661268556005</v>
      </c>
      <c r="P19" s="3">
        <v>10.0</v>
      </c>
      <c r="Q19" s="7">
        <v>0.15</v>
      </c>
      <c r="R19" s="9" t="str">
        <f>IFERROR(__xludf.DUMMYFUNCTION("FILTER('Extração 1'!C:C, 'Extração 1'!A:A = A19, 'Extração 1'!B:B = ""boarding"")"),"#REF!")</f>
        <v>#REF!</v>
      </c>
    </row>
    <row r="20">
      <c r="A20" s="3" t="s">
        <v>41</v>
      </c>
      <c r="C20" s="3" t="s">
        <v>19</v>
      </c>
      <c r="D20" s="3" t="s">
        <v>20</v>
      </c>
      <c r="E20" s="3" t="s">
        <v>39</v>
      </c>
      <c r="F20" s="4">
        <v>1.0</v>
      </c>
      <c r="G20" s="4">
        <v>1.0</v>
      </c>
      <c r="H20" s="5">
        <v>0.0</v>
      </c>
      <c r="I20" s="6">
        <v>1.0</v>
      </c>
      <c r="J20" s="6">
        <v>0.0</v>
      </c>
      <c r="K20" s="7">
        <v>0.0</v>
      </c>
      <c r="L20" s="6">
        <v>1.0</v>
      </c>
      <c r="M20" s="6">
        <v>0.0</v>
      </c>
      <c r="N20" s="7">
        <v>0.0</v>
      </c>
      <c r="O20" s="8"/>
      <c r="Q20" s="7"/>
      <c r="R20" s="9" t="str">
        <f>IFERROR(__xludf.DUMMYFUNCTION("FILTER('Extração 1'!C:C, 'Extração 1'!A:A = A20, 'Extração 1'!B:B = ""boarding"")"),"#REF!")</f>
        <v>#REF!</v>
      </c>
    </row>
    <row r="21">
      <c r="A21" s="3" t="s">
        <v>42</v>
      </c>
      <c r="C21" s="3" t="s">
        <v>19</v>
      </c>
      <c r="D21" s="3" t="s">
        <v>20</v>
      </c>
      <c r="E21" s="3" t="s">
        <v>39</v>
      </c>
      <c r="F21" s="4">
        <v>10.0</v>
      </c>
      <c r="G21" s="4">
        <v>10.0</v>
      </c>
      <c r="H21" s="5">
        <v>85518.48010000003</v>
      </c>
      <c r="I21" s="6">
        <v>271.0</v>
      </c>
      <c r="J21" s="6">
        <v>147.0</v>
      </c>
      <c r="K21" s="7">
        <v>0.4298245614035088</v>
      </c>
      <c r="L21" s="6">
        <v>326.0</v>
      </c>
      <c r="M21" s="6">
        <v>325.0</v>
      </c>
      <c r="N21" s="7">
        <v>0.9969325153374233</v>
      </c>
      <c r="O21" s="8">
        <v>0.3152518182300791</v>
      </c>
      <c r="P21" s="3">
        <v>9.96774193548387</v>
      </c>
      <c r="Q21" s="7">
        <v>0.2108843537414966</v>
      </c>
      <c r="R21" s="9" t="str">
        <f>IFERROR(__xludf.DUMMYFUNCTION("FILTER('Extração 1'!C:C, 'Extração 1'!A:A = A21, 'Extração 1'!B:B = ""boarding"")"),"#REF!")</f>
        <v>#REF!</v>
      </c>
    </row>
    <row r="22">
      <c r="A22" s="3" t="s">
        <v>43</v>
      </c>
      <c r="C22" s="3" t="s">
        <v>19</v>
      </c>
      <c r="D22" s="3" t="s">
        <v>20</v>
      </c>
      <c r="E22" s="3" t="s">
        <v>44</v>
      </c>
      <c r="F22" s="4">
        <v>4.0</v>
      </c>
      <c r="G22" s="4">
        <v>4.0</v>
      </c>
      <c r="H22" s="5">
        <v>9869.000000000002</v>
      </c>
      <c r="I22" s="6">
        <v>116.0</v>
      </c>
      <c r="J22" s="6">
        <v>26.0</v>
      </c>
      <c r="K22" s="7">
        <v>0.22033898305084745</v>
      </c>
      <c r="L22" s="6">
        <v>114.0</v>
      </c>
      <c r="M22" s="6">
        <v>102.0</v>
      </c>
      <c r="N22" s="7">
        <v>0.8947368421052632</v>
      </c>
      <c r="O22" s="8">
        <v>0.11725310457516339</v>
      </c>
      <c r="P22" s="3">
        <v>10.0</v>
      </c>
      <c r="Q22" s="7">
        <v>0.14285714285714285</v>
      </c>
      <c r="R22" s="9" t="str">
        <f>IFERROR(__xludf.DUMMYFUNCTION("FILTER('Extração 1'!C:C, 'Extração 1'!A:A = A22, 'Extração 1'!B:B = ""boarding"")"),"#REF!")</f>
        <v>#REF!</v>
      </c>
    </row>
    <row r="23">
      <c r="A23" s="3" t="s">
        <v>45</v>
      </c>
      <c r="C23" s="3" t="s">
        <v>19</v>
      </c>
      <c r="D23" s="3" t="s">
        <v>20</v>
      </c>
      <c r="E23" s="3" t="s">
        <v>44</v>
      </c>
      <c r="F23" s="4">
        <v>3.0</v>
      </c>
      <c r="G23" s="4">
        <v>3.0</v>
      </c>
      <c r="H23" s="5">
        <v>0.0</v>
      </c>
      <c r="I23" s="6">
        <v>2.0</v>
      </c>
      <c r="J23" s="6">
        <v>0.0</v>
      </c>
      <c r="K23" s="7">
        <v>0.0</v>
      </c>
      <c r="L23" s="6">
        <v>0.0</v>
      </c>
      <c r="M23" s="6">
        <v>0.0</v>
      </c>
      <c r="N23" s="7"/>
      <c r="O23" s="8"/>
      <c r="Q23" s="7"/>
      <c r="R23" s="9" t="str">
        <f>IFERROR(__xludf.DUMMYFUNCTION("FILTER('Extração 1'!C:C, 'Extração 1'!A:A = A23, 'Extração 1'!B:B = ""boarding"")"),"#REF!")</f>
        <v>#REF!</v>
      </c>
    </row>
    <row r="24">
      <c r="A24" s="3" t="s">
        <v>46</v>
      </c>
      <c r="C24" s="3" t="s">
        <v>19</v>
      </c>
      <c r="D24" s="3" t="s">
        <v>20</v>
      </c>
      <c r="E24" s="3" t="s">
        <v>44</v>
      </c>
      <c r="F24" s="4">
        <v>16.0</v>
      </c>
      <c r="G24" s="4">
        <v>16.0</v>
      </c>
      <c r="H24" s="5">
        <v>2707.2</v>
      </c>
      <c r="I24" s="6">
        <v>60.0</v>
      </c>
      <c r="J24" s="6">
        <v>20.0</v>
      </c>
      <c r="K24" s="7">
        <v>0.2631578947368421</v>
      </c>
      <c r="L24" s="6">
        <v>76.0</v>
      </c>
      <c r="M24" s="6">
        <v>72.0</v>
      </c>
      <c r="N24" s="7">
        <v>0.9473684210526315</v>
      </c>
      <c r="O24" s="8">
        <v>0.49062991021324354</v>
      </c>
      <c r="P24" s="3">
        <v>10.0</v>
      </c>
      <c r="Q24" s="7">
        <v>0.4</v>
      </c>
      <c r="R24" s="9" t="str">
        <f>IFERROR(__xludf.DUMMYFUNCTION("FILTER('Extração 1'!C:C, 'Extração 1'!A:A = A24, 'Extração 1'!B:B = ""boarding"")"),"#REF!")</f>
        <v>#REF!</v>
      </c>
    </row>
    <row r="25">
      <c r="A25" s="3" t="s">
        <v>47</v>
      </c>
      <c r="C25" s="3" t="s">
        <v>19</v>
      </c>
      <c r="D25" s="3" t="s">
        <v>20</v>
      </c>
      <c r="E25" s="3" t="s">
        <v>48</v>
      </c>
      <c r="F25" s="4">
        <v>4.0</v>
      </c>
      <c r="G25" s="4">
        <v>4.0</v>
      </c>
      <c r="H25" s="5">
        <v>15040.32</v>
      </c>
      <c r="I25" s="6">
        <v>121.0</v>
      </c>
      <c r="J25" s="6">
        <v>37.0</v>
      </c>
      <c r="K25" s="7">
        <v>0.27205882352941174</v>
      </c>
      <c r="L25" s="6">
        <v>126.0</v>
      </c>
      <c r="M25" s="6">
        <v>125.0</v>
      </c>
      <c r="N25" s="7">
        <v>0.9920634920634921</v>
      </c>
      <c r="O25" s="8">
        <v>0.3300937962962963</v>
      </c>
      <c r="P25" s="3">
        <v>10.0</v>
      </c>
      <c r="Q25" s="7">
        <v>0.0975609756097561</v>
      </c>
      <c r="R25" s="9" t="str">
        <f>IFERROR(__xludf.DUMMYFUNCTION("FILTER('Extração 1'!C:C, 'Extração 1'!A:A = A25, 'Extração 1'!B:B = ""boarding"")"),"#REF!")</f>
        <v>#REF!</v>
      </c>
    </row>
    <row r="26">
      <c r="A26" s="3" t="s">
        <v>49</v>
      </c>
      <c r="C26" s="3" t="s">
        <v>19</v>
      </c>
      <c r="D26" s="3" t="s">
        <v>20</v>
      </c>
      <c r="E26" s="3" t="s">
        <v>48</v>
      </c>
      <c r="F26" s="4">
        <v>1.0</v>
      </c>
      <c r="G26" s="4">
        <v>1.0</v>
      </c>
      <c r="H26" s="5">
        <v>0.0</v>
      </c>
      <c r="I26" s="6">
        <v>1.0</v>
      </c>
      <c r="J26" s="6">
        <v>0.0</v>
      </c>
      <c r="K26" s="7">
        <v>0.0</v>
      </c>
      <c r="L26" s="6">
        <v>0.0</v>
      </c>
      <c r="M26" s="6">
        <v>0.0</v>
      </c>
      <c r="N26" s="7"/>
      <c r="O26" s="8"/>
      <c r="Q26" s="7"/>
      <c r="R26" s="9" t="str">
        <f>IFERROR(__xludf.DUMMYFUNCTION("FILTER('Extração 1'!C:C, 'Extração 1'!A:A = A26, 'Extração 1'!B:B = ""boarding"")"),"#REF!")</f>
        <v>#REF!</v>
      </c>
    </row>
    <row r="27">
      <c r="A27" s="3" t="s">
        <v>50</v>
      </c>
      <c r="C27" s="3" t="s">
        <v>19</v>
      </c>
      <c r="D27" s="3" t="s">
        <v>20</v>
      </c>
      <c r="E27" s="3" t="s">
        <v>48</v>
      </c>
      <c r="F27" s="4">
        <v>3.0</v>
      </c>
      <c r="G27" s="4">
        <v>3.0</v>
      </c>
      <c r="H27" s="5">
        <v>1238.0399</v>
      </c>
      <c r="I27" s="6">
        <v>18.0</v>
      </c>
      <c r="J27" s="6">
        <v>2.0</v>
      </c>
      <c r="K27" s="7">
        <v>0.09523809523809523</v>
      </c>
      <c r="L27" s="6">
        <v>18.0</v>
      </c>
      <c r="M27" s="6">
        <v>13.0</v>
      </c>
      <c r="N27" s="7">
        <v>0.7222222222222222</v>
      </c>
      <c r="O27" s="8">
        <v>7.312613412228797</v>
      </c>
      <c r="P27" s="3">
        <v>10.0</v>
      </c>
      <c r="Q27" s="7">
        <v>0.5</v>
      </c>
      <c r="R27" s="9" t="str">
        <f>IFERROR(__xludf.DUMMYFUNCTION("FILTER('Extração 1'!C:C, 'Extração 1'!A:A = A27, 'Extração 1'!B:B = ""boarding"")"),"#REF!")</f>
        <v>#REF!</v>
      </c>
    </row>
    <row r="28">
      <c r="A28" s="3" t="s">
        <v>51</v>
      </c>
      <c r="C28" s="3" t="s">
        <v>19</v>
      </c>
      <c r="D28" s="3" t="s">
        <v>20</v>
      </c>
      <c r="E28" s="3" t="s">
        <v>48</v>
      </c>
      <c r="F28" s="4">
        <v>2.0</v>
      </c>
      <c r="G28" s="4">
        <v>2.0</v>
      </c>
      <c r="H28" s="5">
        <v>1568.0</v>
      </c>
      <c r="I28" s="6">
        <v>43.0</v>
      </c>
      <c r="J28" s="6">
        <v>7.0</v>
      </c>
      <c r="K28" s="7">
        <v>0.15217391304347827</v>
      </c>
      <c r="L28" s="6">
        <v>44.0</v>
      </c>
      <c r="M28" s="6">
        <v>44.0</v>
      </c>
      <c r="N28" s="7">
        <v>1.0</v>
      </c>
      <c r="O28" s="8">
        <v>0.07327020202020203</v>
      </c>
      <c r="P28" s="3">
        <v>10.0</v>
      </c>
      <c r="Q28" s="7">
        <v>0.2857142857142857</v>
      </c>
      <c r="R28" s="9" t="str">
        <f>IFERROR(__xludf.DUMMYFUNCTION("FILTER('Extração 1'!C:C, 'Extração 1'!A:A = A28, 'Extração 1'!B:B = ""boarding"")"),"#REF!")</f>
        <v>#REF!</v>
      </c>
    </row>
    <row r="29">
      <c r="A29" s="3" t="s">
        <v>52</v>
      </c>
      <c r="B29" s="3" t="s">
        <v>53</v>
      </c>
      <c r="C29" s="3" t="s">
        <v>19</v>
      </c>
      <c r="D29" s="3" t="s">
        <v>20</v>
      </c>
      <c r="E29" s="3" t="s">
        <v>48</v>
      </c>
      <c r="F29" s="4">
        <v>4.0</v>
      </c>
      <c r="G29" s="4">
        <v>4.0</v>
      </c>
      <c r="H29" s="5">
        <v>34588.34</v>
      </c>
      <c r="I29" s="6">
        <v>229.0</v>
      </c>
      <c r="J29" s="6">
        <v>74.0</v>
      </c>
      <c r="K29" s="7">
        <v>0.2730627306273063</v>
      </c>
      <c r="L29" s="6">
        <v>244.0</v>
      </c>
      <c r="M29" s="6">
        <v>244.0</v>
      </c>
      <c r="N29" s="7">
        <v>1.0</v>
      </c>
      <c r="O29" s="8">
        <v>0.1761235961833074</v>
      </c>
      <c r="P29" s="3">
        <v>9.909090909090908</v>
      </c>
      <c r="Q29" s="7">
        <v>0.2894736842105263</v>
      </c>
      <c r="R29" s="9" t="str">
        <f>IFERROR(__xludf.DUMMYFUNCTION("FILTER('Extração 1'!C:C, 'Extração 1'!A:A = A29, 'Extração 1'!B:B = ""boarding"")"),"#REF!")</f>
        <v>#REF!</v>
      </c>
    </row>
    <row r="30">
      <c r="A30" s="3" t="s">
        <v>54</v>
      </c>
      <c r="B30" s="3" t="s">
        <v>55</v>
      </c>
      <c r="C30" s="3" t="s">
        <v>19</v>
      </c>
      <c r="D30" s="3" t="s">
        <v>20</v>
      </c>
      <c r="E30" s="3" t="s">
        <v>48</v>
      </c>
      <c r="F30" s="4">
        <v>10.0</v>
      </c>
      <c r="G30" s="4">
        <v>10.0</v>
      </c>
      <c r="H30" s="5">
        <v>51045.33</v>
      </c>
      <c r="I30" s="6">
        <v>525.0</v>
      </c>
      <c r="J30" s="6">
        <v>166.0</v>
      </c>
      <c r="K30" s="7">
        <v>0.25736434108527134</v>
      </c>
      <c r="L30" s="6">
        <v>609.0</v>
      </c>
      <c r="M30" s="6">
        <v>602.0</v>
      </c>
      <c r="N30" s="7">
        <v>0.9885057471264368</v>
      </c>
      <c r="O30" s="8">
        <v>0.11015920851663331</v>
      </c>
      <c r="P30" s="3">
        <v>9.870967741935484</v>
      </c>
      <c r="Q30" s="7">
        <v>0.1781609195402299</v>
      </c>
      <c r="R30" s="9" t="str">
        <f>IFERROR(__xludf.DUMMYFUNCTION("FILTER('Extração 1'!C:C, 'Extração 1'!A:A = A30, 'Extração 1'!B:B = ""boarding"")"),"#REF!")</f>
        <v>#REF!</v>
      </c>
    </row>
    <row r="31">
      <c r="A31" s="3" t="s">
        <v>56</v>
      </c>
      <c r="C31" s="3" t="s">
        <v>19</v>
      </c>
      <c r="D31" s="3" t="s">
        <v>20</v>
      </c>
      <c r="E31" s="3" t="s">
        <v>48</v>
      </c>
      <c r="F31" s="4">
        <v>6.0</v>
      </c>
      <c r="G31" s="4">
        <v>6.0</v>
      </c>
      <c r="H31" s="5">
        <v>20678.260000000002</v>
      </c>
      <c r="I31" s="6">
        <v>202.0</v>
      </c>
      <c r="J31" s="6">
        <v>52.0</v>
      </c>
      <c r="K31" s="7">
        <v>0.2222222222222222</v>
      </c>
      <c r="L31" s="6">
        <v>218.0</v>
      </c>
      <c r="M31" s="6">
        <v>214.0</v>
      </c>
      <c r="N31" s="7">
        <v>0.981651376146789</v>
      </c>
      <c r="O31" s="8">
        <v>0.0986287741367299</v>
      </c>
      <c r="P31" s="3">
        <v>9.952380952380953</v>
      </c>
      <c r="Q31" s="7">
        <v>0.7777777777777778</v>
      </c>
      <c r="R31" s="9" t="str">
        <f>IFERROR(__xludf.DUMMYFUNCTION("FILTER('Extração 1'!C:C, 'Extração 1'!A:A = A31, 'Extração 1'!B:B = ""boarding"")"),"#REF!")</f>
        <v>#REF!</v>
      </c>
    </row>
    <row r="32">
      <c r="A32" s="3" t="s">
        <v>57</v>
      </c>
      <c r="C32" s="3" t="s">
        <v>19</v>
      </c>
      <c r="D32" s="3" t="s">
        <v>20</v>
      </c>
      <c r="E32" s="3" t="s">
        <v>48</v>
      </c>
      <c r="F32" s="4">
        <v>8.0</v>
      </c>
      <c r="G32" s="4">
        <v>8.0</v>
      </c>
      <c r="H32" s="5">
        <v>40784.14</v>
      </c>
      <c r="I32" s="6">
        <v>328.0</v>
      </c>
      <c r="J32" s="6">
        <v>101.0</v>
      </c>
      <c r="K32" s="7">
        <v>0.2512437810945274</v>
      </c>
      <c r="L32" s="6">
        <v>339.0</v>
      </c>
      <c r="M32" s="6">
        <v>333.0</v>
      </c>
      <c r="N32" s="7">
        <v>0.9823008849557522</v>
      </c>
      <c r="O32" s="8">
        <v>0.39446004189593936</v>
      </c>
      <c r="P32" s="3">
        <v>10.0</v>
      </c>
      <c r="Q32" s="7">
        <v>0.17272727272727273</v>
      </c>
      <c r="R32" s="9" t="str">
        <f>IFERROR(__xludf.DUMMYFUNCTION("FILTER('Extração 1'!C:C, 'Extração 1'!A:A = A32, 'Extração 1'!B:B = ""boarding"")"),"#REF!")</f>
        <v>#REF!</v>
      </c>
    </row>
    <row r="33">
      <c r="A33" s="3" t="s">
        <v>58</v>
      </c>
      <c r="C33" s="3" t="s">
        <v>19</v>
      </c>
      <c r="D33" s="3" t="s">
        <v>20</v>
      </c>
      <c r="E33" s="3" t="s">
        <v>48</v>
      </c>
      <c r="F33" s="4"/>
      <c r="G33" s="4"/>
      <c r="H33" s="5">
        <v>0.0</v>
      </c>
      <c r="I33" s="6">
        <v>0.0</v>
      </c>
      <c r="J33" s="6">
        <v>0.0</v>
      </c>
      <c r="K33" s="7"/>
      <c r="L33" s="6">
        <v>0.0</v>
      </c>
      <c r="M33" s="6">
        <v>0.0</v>
      </c>
      <c r="N33" s="7"/>
      <c r="O33" s="8"/>
      <c r="Q33" s="7">
        <v>0.0</v>
      </c>
      <c r="R33" s="2">
        <v>70.0</v>
      </c>
    </row>
    <row r="34">
      <c r="A34" s="3" t="s">
        <v>59</v>
      </c>
      <c r="C34" s="3" t="s">
        <v>19</v>
      </c>
      <c r="D34" s="3" t="s">
        <v>20</v>
      </c>
      <c r="E34" s="3" t="s">
        <v>48</v>
      </c>
      <c r="F34" s="4">
        <v>5.0</v>
      </c>
      <c r="G34" s="4">
        <v>5.0</v>
      </c>
      <c r="H34" s="5">
        <v>5323.120000000001</v>
      </c>
      <c r="I34" s="6">
        <v>70.0</v>
      </c>
      <c r="J34" s="6">
        <v>9.0</v>
      </c>
      <c r="K34" s="7">
        <v>0.1125</v>
      </c>
      <c r="L34" s="6">
        <v>63.0</v>
      </c>
      <c r="M34" s="6">
        <v>62.0</v>
      </c>
      <c r="N34" s="7">
        <v>0.9841269841269841</v>
      </c>
      <c r="O34" s="8">
        <v>0.35517262281256584</v>
      </c>
      <c r="P34" s="3">
        <v>10.0</v>
      </c>
      <c r="Q34" s="7">
        <v>0.2</v>
      </c>
      <c r="R34" s="9" t="str">
        <f>IFERROR(__xludf.DUMMYFUNCTION("FILTER('Extração 1'!C:C, 'Extração 1'!A:A = A34, 'Extração 1'!B:B = ""boarding"")"),"#REF!")</f>
        <v>#REF!</v>
      </c>
    </row>
    <row r="35">
      <c r="A35" s="3" t="s">
        <v>60</v>
      </c>
      <c r="C35" s="3" t="s">
        <v>19</v>
      </c>
      <c r="D35" s="3" t="s">
        <v>20</v>
      </c>
      <c r="E35" s="3" t="s">
        <v>48</v>
      </c>
      <c r="F35" s="4">
        <v>4.0</v>
      </c>
      <c r="G35" s="4">
        <v>4.0</v>
      </c>
      <c r="H35" s="5">
        <v>13401.719999999998</v>
      </c>
      <c r="I35" s="6">
        <v>204.0</v>
      </c>
      <c r="J35" s="6">
        <v>32.0</v>
      </c>
      <c r="K35" s="7">
        <v>0.14814814814814814</v>
      </c>
      <c r="L35" s="6">
        <v>204.0</v>
      </c>
      <c r="M35" s="6">
        <v>202.0</v>
      </c>
      <c r="N35" s="7">
        <v>0.9901960784313726</v>
      </c>
      <c r="O35" s="8">
        <v>0.06884888488848885</v>
      </c>
      <c r="P35" s="3">
        <v>10.0</v>
      </c>
      <c r="Q35" s="7">
        <v>0.5294117647058824</v>
      </c>
      <c r="R35" s="9" t="str">
        <f>IFERROR(__xludf.DUMMYFUNCTION("FILTER('Extração 1'!C:C, 'Extração 1'!A:A = A35, 'Extração 1'!B:B = ""boarding"")"),"#REF!")</f>
        <v>#REF!</v>
      </c>
    </row>
    <row r="36">
      <c r="A36" s="3" t="s">
        <v>61</v>
      </c>
      <c r="C36" s="3" t="s">
        <v>19</v>
      </c>
      <c r="D36" s="3" t="s">
        <v>20</v>
      </c>
      <c r="E36" s="3" t="s">
        <v>48</v>
      </c>
      <c r="F36" s="4">
        <v>2.0</v>
      </c>
      <c r="G36" s="4">
        <v>2.0</v>
      </c>
      <c r="H36" s="5">
        <v>1016.65</v>
      </c>
      <c r="I36" s="6">
        <v>37.0</v>
      </c>
      <c r="J36" s="6">
        <v>6.0</v>
      </c>
      <c r="K36" s="7">
        <v>0.15</v>
      </c>
      <c r="L36" s="6">
        <v>38.0</v>
      </c>
      <c r="M36" s="6">
        <v>36.0</v>
      </c>
      <c r="N36" s="7">
        <v>0.9473684210526315</v>
      </c>
      <c r="O36" s="8">
        <v>0.05331046075837743</v>
      </c>
      <c r="P36" s="3">
        <v>10.0</v>
      </c>
      <c r="Q36" s="7">
        <v>0.5</v>
      </c>
      <c r="R36" s="9" t="str">
        <f>IFERROR(__xludf.DUMMYFUNCTION("FILTER('Extração 1'!C:C, 'Extração 1'!A:A = A36, 'Extração 1'!B:B = ""boarding"")"),"#REF!")</f>
        <v>#REF!</v>
      </c>
    </row>
    <row r="37">
      <c r="A37" s="3" t="s">
        <v>62</v>
      </c>
      <c r="C37" s="3" t="s">
        <v>19</v>
      </c>
      <c r="D37" s="3" t="s">
        <v>20</v>
      </c>
      <c r="E37" s="3" t="s">
        <v>48</v>
      </c>
      <c r="F37" s="4">
        <v>2.0</v>
      </c>
      <c r="G37" s="4">
        <v>2.0</v>
      </c>
      <c r="H37" s="5">
        <v>0.0</v>
      </c>
      <c r="I37" s="6">
        <v>1.0</v>
      </c>
      <c r="J37" s="6">
        <v>0.0</v>
      </c>
      <c r="K37" s="7">
        <v>0.0</v>
      </c>
      <c r="L37" s="6">
        <v>1.0</v>
      </c>
      <c r="M37" s="6">
        <v>1.0</v>
      </c>
      <c r="N37" s="7">
        <v>1.0</v>
      </c>
      <c r="O37" s="8">
        <v>0.05444444444444444</v>
      </c>
      <c r="Q37" s="7"/>
      <c r="R37" s="9" t="str">
        <f>IFERROR(__xludf.DUMMYFUNCTION("FILTER('Extração 1'!C:C, 'Extração 1'!A:A = A37, 'Extração 1'!B:B = ""boarding"")"),"#REF!")</f>
        <v>#REF!</v>
      </c>
    </row>
    <row r="38">
      <c r="A38" s="3" t="s">
        <v>63</v>
      </c>
      <c r="C38" s="3" t="s">
        <v>19</v>
      </c>
      <c r="D38" s="3" t="s">
        <v>20</v>
      </c>
      <c r="E38" s="3" t="s">
        <v>64</v>
      </c>
      <c r="F38" s="4">
        <v>3.0</v>
      </c>
      <c r="G38" s="4">
        <v>3.0</v>
      </c>
      <c r="H38" s="5">
        <v>3509.88</v>
      </c>
      <c r="I38" s="6">
        <v>49.0</v>
      </c>
      <c r="J38" s="6">
        <v>6.0</v>
      </c>
      <c r="K38" s="7">
        <v>0.11320754716981132</v>
      </c>
      <c r="L38" s="6">
        <v>49.0</v>
      </c>
      <c r="M38" s="6">
        <v>45.0</v>
      </c>
      <c r="N38" s="7">
        <v>0.9183673469387755</v>
      </c>
      <c r="O38" s="8">
        <v>0.18551551123773347</v>
      </c>
      <c r="P38" s="3">
        <v>10.0</v>
      </c>
      <c r="Q38" s="7">
        <v>0.16666666666666666</v>
      </c>
      <c r="R38" s="9" t="str">
        <f>IFERROR(__xludf.DUMMYFUNCTION("FILTER('Extração 1'!C:C, 'Extração 1'!A:A = A38, 'Extração 1'!B:B = ""boarding"")"),"#REF!")</f>
        <v>#REF!</v>
      </c>
    </row>
    <row r="39">
      <c r="A39" s="3" t="s">
        <v>65</v>
      </c>
      <c r="C39" s="3" t="s">
        <v>19</v>
      </c>
      <c r="D39" s="3" t="s">
        <v>20</v>
      </c>
      <c r="E39" s="3" t="s">
        <v>64</v>
      </c>
      <c r="F39" s="4">
        <v>2.0</v>
      </c>
      <c r="G39" s="4">
        <v>2.0</v>
      </c>
      <c r="H39" s="5">
        <v>0.0</v>
      </c>
      <c r="I39" s="6">
        <v>2.0</v>
      </c>
      <c r="J39" s="6">
        <v>0.0</v>
      </c>
      <c r="K39" s="7">
        <v>0.0</v>
      </c>
      <c r="L39" s="6">
        <v>2.0</v>
      </c>
      <c r="M39" s="6">
        <v>0.0</v>
      </c>
      <c r="N39" s="7">
        <v>0.0</v>
      </c>
      <c r="O39" s="8"/>
      <c r="Q39" s="7"/>
      <c r="R39" s="9" t="str">
        <f>IFERROR(__xludf.DUMMYFUNCTION("FILTER('Extração 1'!C:C, 'Extração 1'!A:A = A39, 'Extração 1'!B:B = ""boarding"")"),"#REF!")</f>
        <v>#REF!</v>
      </c>
    </row>
    <row r="40">
      <c r="A40" s="3" t="s">
        <v>66</v>
      </c>
      <c r="C40" s="3" t="s">
        <v>19</v>
      </c>
      <c r="D40" s="3" t="s">
        <v>20</v>
      </c>
      <c r="E40" s="3" t="s">
        <v>64</v>
      </c>
      <c r="F40" s="4">
        <v>2.0</v>
      </c>
      <c r="G40" s="4">
        <v>2.0</v>
      </c>
      <c r="H40" s="5">
        <v>10752.639999999996</v>
      </c>
      <c r="I40" s="6">
        <v>110.0</v>
      </c>
      <c r="J40" s="6">
        <v>35.0</v>
      </c>
      <c r="K40" s="7">
        <v>0.26515151515151514</v>
      </c>
      <c r="L40" s="6">
        <v>139.0</v>
      </c>
      <c r="M40" s="6">
        <v>139.0</v>
      </c>
      <c r="N40" s="7">
        <v>1.0</v>
      </c>
      <c r="O40" s="8">
        <v>0.32125610381260206</v>
      </c>
      <c r="P40" s="3">
        <v>10.0</v>
      </c>
      <c r="Q40" s="7">
        <v>0.5428571428571428</v>
      </c>
      <c r="R40" s="9" t="str">
        <f>IFERROR(__xludf.DUMMYFUNCTION("FILTER('Extração 1'!C:C, 'Extração 1'!A:A = A40, 'Extração 1'!B:B = ""boarding"")"),"#REF!")</f>
        <v>#REF!</v>
      </c>
    </row>
    <row r="41">
      <c r="A41" s="3" t="s">
        <v>67</v>
      </c>
      <c r="B41" s="3" t="s">
        <v>68</v>
      </c>
      <c r="C41" s="3" t="s">
        <v>19</v>
      </c>
      <c r="D41" s="3" t="s">
        <v>20</v>
      </c>
      <c r="E41" s="3" t="s">
        <v>64</v>
      </c>
      <c r="F41" s="4">
        <v>15.0</v>
      </c>
      <c r="G41" s="4">
        <v>15.0</v>
      </c>
      <c r="H41" s="5">
        <v>28515.520000000008</v>
      </c>
      <c r="I41" s="6">
        <v>228.0</v>
      </c>
      <c r="J41" s="6">
        <v>68.0</v>
      </c>
      <c r="K41" s="7">
        <v>0.2677165354330709</v>
      </c>
      <c r="L41" s="6">
        <v>238.0</v>
      </c>
      <c r="M41" s="6">
        <v>236.0</v>
      </c>
      <c r="N41" s="7">
        <v>0.9915966386554622</v>
      </c>
      <c r="O41" s="8">
        <v>0.08221394131239065</v>
      </c>
      <c r="P41" s="3">
        <v>10.0</v>
      </c>
      <c r="Q41" s="7">
        <v>0.3076923076923077</v>
      </c>
      <c r="R41" s="9" t="str">
        <f>IFERROR(__xludf.DUMMYFUNCTION("FILTER('Extração 1'!C:C, 'Extração 1'!A:A = A41, 'Extração 1'!B:B = ""boarding"")"),"#REF!")</f>
        <v>#REF!</v>
      </c>
    </row>
    <row r="42">
      <c r="A42" s="3" t="s">
        <v>69</v>
      </c>
      <c r="C42" s="3" t="s">
        <v>19</v>
      </c>
      <c r="D42" s="3" t="s">
        <v>20</v>
      </c>
      <c r="E42" s="3" t="s">
        <v>64</v>
      </c>
      <c r="F42" s="4">
        <v>6.0</v>
      </c>
      <c r="G42" s="4">
        <v>6.0</v>
      </c>
      <c r="H42" s="5">
        <v>1512.0</v>
      </c>
      <c r="I42" s="6">
        <v>58.0</v>
      </c>
      <c r="J42" s="6">
        <v>6.0</v>
      </c>
      <c r="K42" s="7">
        <v>0.08108108108108109</v>
      </c>
      <c r="L42" s="6">
        <v>68.0</v>
      </c>
      <c r="M42" s="6">
        <v>64.0</v>
      </c>
      <c r="N42" s="7">
        <v>0.9411764705882353</v>
      </c>
      <c r="O42" s="8">
        <v>0.29447690217391304</v>
      </c>
      <c r="P42" s="3">
        <v>10.0</v>
      </c>
      <c r="Q42" s="7">
        <v>1.0</v>
      </c>
      <c r="R42" s="9" t="str">
        <f>IFERROR(__xludf.DUMMYFUNCTION("FILTER('Extração 1'!C:C, 'Extração 1'!A:A = A42, 'Extração 1'!B:B = ""boarding"")"),"#REF!")</f>
        <v>#REF!</v>
      </c>
    </row>
    <row r="43">
      <c r="A43" s="3" t="s">
        <v>70</v>
      </c>
      <c r="C43" s="3" t="s">
        <v>19</v>
      </c>
      <c r="D43" s="3" t="s">
        <v>20</v>
      </c>
      <c r="E43" s="3" t="s">
        <v>64</v>
      </c>
      <c r="F43" s="4">
        <v>10.0</v>
      </c>
      <c r="G43" s="4">
        <v>10.0</v>
      </c>
      <c r="H43" s="5">
        <v>12905.380000000001</v>
      </c>
      <c r="I43" s="6">
        <v>34.0</v>
      </c>
      <c r="J43" s="6">
        <v>18.0</v>
      </c>
      <c r="K43" s="7">
        <v>0.42857142857142855</v>
      </c>
      <c r="L43" s="6">
        <v>40.0</v>
      </c>
      <c r="M43" s="6">
        <v>38.0</v>
      </c>
      <c r="N43" s="7">
        <v>0.95</v>
      </c>
      <c r="O43" s="8">
        <v>0.4659420687134503</v>
      </c>
      <c r="P43" s="3">
        <v>10.0</v>
      </c>
      <c r="Q43" s="7">
        <v>0.3333333333333333</v>
      </c>
      <c r="R43" s="9" t="str">
        <f>IFERROR(__xludf.DUMMYFUNCTION("FILTER('Extração 1'!C:C, 'Extração 1'!A:A = A43, 'Extração 1'!B:B = ""boarding"")"),"#REF!")</f>
        <v>#REF!</v>
      </c>
    </row>
    <row r="44">
      <c r="A44" s="3" t="s">
        <v>71</v>
      </c>
      <c r="C44" s="3" t="s">
        <v>19</v>
      </c>
      <c r="D44" s="3" t="s">
        <v>20</v>
      </c>
      <c r="E44" s="3" t="s">
        <v>72</v>
      </c>
      <c r="F44" s="4">
        <v>20.0</v>
      </c>
      <c r="G44" s="4">
        <v>20.0</v>
      </c>
      <c r="H44" s="5">
        <v>89713.30019999991</v>
      </c>
      <c r="I44" s="6">
        <v>704.0</v>
      </c>
      <c r="J44" s="6">
        <v>176.0</v>
      </c>
      <c r="K44" s="7">
        <v>0.2146341463414634</v>
      </c>
      <c r="L44" s="6">
        <v>752.0</v>
      </c>
      <c r="M44" s="6">
        <v>738.0</v>
      </c>
      <c r="N44" s="7">
        <v>0.9813829787234043</v>
      </c>
      <c r="O44" s="8">
        <v>0.04221893662802369</v>
      </c>
      <c r="P44" s="3">
        <v>9.84</v>
      </c>
      <c r="Q44" s="7">
        <v>0.2808988764044944</v>
      </c>
      <c r="R44" s="9" t="str">
        <f>IFERROR(__xludf.DUMMYFUNCTION("FILTER('Extração 1'!C:C, 'Extração 1'!A:A = A44, 'Extração 1'!B:B = ""boarding"")"),"#REF!")</f>
        <v>#REF!</v>
      </c>
    </row>
    <row r="45">
      <c r="A45" s="3" t="s">
        <v>73</v>
      </c>
      <c r="C45" s="3" t="s">
        <v>19</v>
      </c>
      <c r="D45" s="3" t="s">
        <v>20</v>
      </c>
      <c r="E45" s="3" t="s">
        <v>72</v>
      </c>
      <c r="F45" s="4">
        <v>8.0</v>
      </c>
      <c r="G45" s="4">
        <v>8.0</v>
      </c>
      <c r="H45" s="5">
        <v>35917.26999999999</v>
      </c>
      <c r="I45" s="6">
        <v>184.0</v>
      </c>
      <c r="J45" s="6">
        <v>87.0</v>
      </c>
      <c r="K45" s="7">
        <v>0.3901345291479821</v>
      </c>
      <c r="L45" s="6">
        <v>200.0</v>
      </c>
      <c r="M45" s="6">
        <v>200.0</v>
      </c>
      <c r="N45" s="7">
        <v>1.0</v>
      </c>
      <c r="O45" s="8">
        <v>0.07208072222222223</v>
      </c>
      <c r="P45" s="3">
        <v>9.933333333333334</v>
      </c>
      <c r="Q45" s="7">
        <v>0.1595744680851064</v>
      </c>
      <c r="R45" s="9" t="str">
        <f>IFERROR(__xludf.DUMMYFUNCTION("FILTER('Extração 1'!C:C, 'Extração 1'!A:A = A45, 'Extração 1'!B:B = ""boarding"")"),"#REF!")</f>
        <v>#REF!</v>
      </c>
    </row>
    <row r="46">
      <c r="A46" s="3" t="s">
        <v>74</v>
      </c>
      <c r="C46" s="3" t="s">
        <v>19</v>
      </c>
      <c r="D46" s="3" t="s">
        <v>20</v>
      </c>
      <c r="E46" s="3" t="s">
        <v>72</v>
      </c>
      <c r="F46" s="4">
        <v>1.0</v>
      </c>
      <c r="G46" s="4">
        <v>1.0</v>
      </c>
      <c r="H46" s="5">
        <v>0.0</v>
      </c>
      <c r="I46" s="6">
        <v>1.0</v>
      </c>
      <c r="J46" s="6">
        <v>0.0</v>
      </c>
      <c r="K46" s="7">
        <v>0.0</v>
      </c>
      <c r="L46" s="6">
        <v>1.0</v>
      </c>
      <c r="M46" s="6">
        <v>1.0</v>
      </c>
      <c r="N46" s="7">
        <v>1.0</v>
      </c>
      <c r="O46" s="8">
        <v>0.1963888888888889</v>
      </c>
      <c r="Q46" s="7"/>
      <c r="R46" s="9" t="str">
        <f>IFERROR(__xludf.DUMMYFUNCTION("FILTER('Extração 1'!C:C, 'Extração 1'!A:A = A46, 'Extração 1'!B:B = ""boarding"")"),"#REF!")</f>
        <v>#REF!</v>
      </c>
    </row>
    <row r="47">
      <c r="A47" s="3" t="s">
        <v>75</v>
      </c>
      <c r="C47" s="3" t="s">
        <v>19</v>
      </c>
      <c r="D47" s="3" t="s">
        <v>20</v>
      </c>
      <c r="E47" s="3" t="s">
        <v>72</v>
      </c>
      <c r="F47" s="4">
        <v>3.0</v>
      </c>
      <c r="G47" s="4">
        <v>3.0</v>
      </c>
      <c r="H47" s="5">
        <v>3563.13</v>
      </c>
      <c r="I47" s="6">
        <v>42.0</v>
      </c>
      <c r="J47" s="6">
        <v>10.0</v>
      </c>
      <c r="K47" s="7">
        <v>0.2</v>
      </c>
      <c r="L47" s="6">
        <v>43.0</v>
      </c>
      <c r="M47" s="6">
        <v>42.0</v>
      </c>
      <c r="N47" s="7">
        <v>0.9767441860465116</v>
      </c>
      <c r="O47" s="8">
        <v>0.37870556382275133</v>
      </c>
      <c r="P47" s="3">
        <v>10.0</v>
      </c>
      <c r="Q47" s="7">
        <v>0.4</v>
      </c>
      <c r="R47" s="9" t="str">
        <f>IFERROR(__xludf.DUMMYFUNCTION("FILTER('Extração 1'!C:C, 'Extração 1'!A:A = A47, 'Extração 1'!B:B = ""boarding"")"),"#REF!")</f>
        <v>#REF!</v>
      </c>
    </row>
    <row r="48">
      <c r="A48" s="3" t="s">
        <v>76</v>
      </c>
      <c r="C48" s="3" t="s">
        <v>19</v>
      </c>
      <c r="D48" s="3" t="s">
        <v>20</v>
      </c>
      <c r="E48" s="3" t="s">
        <v>72</v>
      </c>
      <c r="F48" s="4"/>
      <c r="G48" s="4"/>
      <c r="H48" s="5">
        <v>1012.5899999999999</v>
      </c>
      <c r="I48" s="6">
        <v>18.0</v>
      </c>
      <c r="J48" s="6">
        <v>2.0</v>
      </c>
      <c r="K48" s="7">
        <v>0.09523809523809523</v>
      </c>
      <c r="L48" s="6">
        <v>26.0</v>
      </c>
      <c r="M48" s="6">
        <v>23.0</v>
      </c>
      <c r="N48" s="7">
        <v>0.8846153846153846</v>
      </c>
      <c r="O48" s="8">
        <v>0.5032676630434783</v>
      </c>
      <c r="P48" s="3">
        <v>10.0</v>
      </c>
      <c r="Q48" s="7">
        <v>1.0</v>
      </c>
      <c r="R48" s="2">
        <v>100.0</v>
      </c>
    </row>
    <row r="49">
      <c r="A49" s="3" t="s">
        <v>77</v>
      </c>
      <c r="C49" s="3" t="s">
        <v>19</v>
      </c>
      <c r="D49" s="3" t="s">
        <v>20</v>
      </c>
      <c r="E49" s="3" t="s">
        <v>72</v>
      </c>
      <c r="F49" s="4">
        <v>2.0</v>
      </c>
      <c r="G49" s="4">
        <v>2.0</v>
      </c>
      <c r="H49" s="5">
        <v>1207.11</v>
      </c>
      <c r="I49" s="6">
        <v>15.0</v>
      </c>
      <c r="J49" s="6">
        <v>2.0</v>
      </c>
      <c r="K49" s="7">
        <v>0.125</v>
      </c>
      <c r="L49" s="6">
        <v>15.0</v>
      </c>
      <c r="M49" s="6">
        <v>13.0</v>
      </c>
      <c r="N49" s="7">
        <v>0.8666666666666667</v>
      </c>
      <c r="O49" s="8">
        <v>1.4663589743589744</v>
      </c>
      <c r="Q49" s="7">
        <v>0.0</v>
      </c>
      <c r="R49" s="9" t="str">
        <f>IFERROR(__xludf.DUMMYFUNCTION("FILTER('Extração 1'!C:C, 'Extração 1'!A:A = A49, 'Extração 1'!B:B = ""boarding"")"),"#REF!")</f>
        <v>#REF!</v>
      </c>
    </row>
    <row r="50">
      <c r="A50" s="3" t="s">
        <v>78</v>
      </c>
      <c r="C50" s="3" t="s">
        <v>19</v>
      </c>
      <c r="D50" s="3" t="s">
        <v>20</v>
      </c>
      <c r="E50" s="3" t="s">
        <v>79</v>
      </c>
      <c r="F50" s="4">
        <v>40.0</v>
      </c>
      <c r="G50" s="4">
        <v>40.0</v>
      </c>
      <c r="H50" s="5">
        <v>84727.80000000012</v>
      </c>
      <c r="I50" s="6">
        <v>508.0</v>
      </c>
      <c r="J50" s="6">
        <v>164.0</v>
      </c>
      <c r="K50" s="7">
        <v>0.2751677852348993</v>
      </c>
      <c r="L50" s="6">
        <v>564.0</v>
      </c>
      <c r="M50" s="6">
        <v>512.0</v>
      </c>
      <c r="N50" s="7">
        <v>0.9078014184397163</v>
      </c>
      <c r="O50" s="8">
        <v>0.024820634145585316</v>
      </c>
      <c r="P50" s="3">
        <v>10.0</v>
      </c>
      <c r="Q50" s="7">
        <v>0.2926829268292683</v>
      </c>
      <c r="R50" s="9" t="str">
        <f>IFERROR(__xludf.DUMMYFUNCTION("FILTER('Extração 1'!C:C, 'Extração 1'!A:A = A50, 'Extração 1'!B:B = ""boarding"")"),"#REF!")</f>
        <v>#REF!</v>
      </c>
    </row>
    <row r="51">
      <c r="A51" s="3" t="s">
        <v>80</v>
      </c>
      <c r="C51" s="3" t="s">
        <v>19</v>
      </c>
      <c r="D51" s="3" t="s">
        <v>20</v>
      </c>
      <c r="E51" s="3" t="s">
        <v>79</v>
      </c>
      <c r="F51" s="4">
        <v>5.0</v>
      </c>
      <c r="G51" s="4">
        <v>5.0</v>
      </c>
      <c r="H51" s="5">
        <v>27973.339999999997</v>
      </c>
      <c r="I51" s="6">
        <v>258.0</v>
      </c>
      <c r="J51" s="6">
        <v>50.0</v>
      </c>
      <c r="K51" s="7">
        <v>0.1736111111111111</v>
      </c>
      <c r="L51" s="6">
        <v>265.0</v>
      </c>
      <c r="M51" s="6">
        <v>265.0</v>
      </c>
      <c r="N51" s="7">
        <v>1.0</v>
      </c>
      <c r="O51" s="8">
        <v>0.019569424790356393</v>
      </c>
      <c r="P51" s="3">
        <v>10.0</v>
      </c>
      <c r="Q51" s="7">
        <v>0.35294117647058826</v>
      </c>
      <c r="R51" s="9" t="str">
        <f>IFERROR(__xludf.DUMMYFUNCTION("FILTER('Extração 1'!C:C, 'Extração 1'!A:A = A51, 'Extração 1'!B:B = ""boarding"")"),"#REF!")</f>
        <v>#REF!</v>
      </c>
    </row>
    <row r="52">
      <c r="A52" s="3" t="s">
        <v>81</v>
      </c>
      <c r="C52" s="3" t="s">
        <v>19</v>
      </c>
      <c r="D52" s="3" t="s">
        <v>20</v>
      </c>
      <c r="E52" s="3" t="s">
        <v>79</v>
      </c>
      <c r="F52" s="4">
        <v>3.0</v>
      </c>
      <c r="G52" s="4">
        <v>3.0</v>
      </c>
      <c r="H52" s="5">
        <v>7999.0199999999995</v>
      </c>
      <c r="I52" s="6">
        <v>35.0</v>
      </c>
      <c r="J52" s="6">
        <v>9.0</v>
      </c>
      <c r="K52" s="7">
        <v>0.23684210526315788</v>
      </c>
      <c r="L52" s="6">
        <v>35.0</v>
      </c>
      <c r="M52" s="6">
        <v>34.0</v>
      </c>
      <c r="N52" s="7">
        <v>0.9714285714285714</v>
      </c>
      <c r="O52" s="8">
        <v>0.12268191721132897</v>
      </c>
      <c r="P52" s="3">
        <v>10.0</v>
      </c>
      <c r="Q52" s="7">
        <v>0.5</v>
      </c>
      <c r="R52" s="9" t="str">
        <f>IFERROR(__xludf.DUMMYFUNCTION("FILTER('Extração 1'!C:C, 'Extração 1'!A:A = A52, 'Extração 1'!B:B = ""boarding"")"),"#REF!")</f>
        <v>#REF!</v>
      </c>
    </row>
    <row r="53">
      <c r="A53" s="3" t="s">
        <v>82</v>
      </c>
      <c r="C53" s="3" t="s">
        <v>19</v>
      </c>
      <c r="D53" s="3" t="s">
        <v>20</v>
      </c>
      <c r="E53" s="3" t="s">
        <v>79</v>
      </c>
      <c r="F53" s="4">
        <v>5.0</v>
      </c>
      <c r="G53" s="4">
        <v>5.0</v>
      </c>
      <c r="H53" s="5">
        <v>27363.47989999999</v>
      </c>
      <c r="I53" s="6">
        <v>299.0</v>
      </c>
      <c r="J53" s="6">
        <v>82.0</v>
      </c>
      <c r="K53" s="7">
        <v>0.2349570200573066</v>
      </c>
      <c r="L53" s="6">
        <v>322.0</v>
      </c>
      <c r="M53" s="6">
        <v>284.0</v>
      </c>
      <c r="N53" s="7">
        <v>0.8819875776397516</v>
      </c>
      <c r="O53" s="8">
        <v>0.2296457130546039</v>
      </c>
      <c r="P53" s="3">
        <v>9.833333333333334</v>
      </c>
      <c r="Q53" s="7">
        <v>0.21428571428571427</v>
      </c>
      <c r="R53" s="9" t="str">
        <f>IFERROR(__xludf.DUMMYFUNCTION("FILTER('Extração 1'!C:C, 'Extração 1'!A:A = A53, 'Extração 1'!B:B = ""boarding"")"),"#REF!")</f>
        <v>#REF!</v>
      </c>
    </row>
    <row r="54">
      <c r="A54" s="3" t="s">
        <v>83</v>
      </c>
      <c r="C54" s="3" t="s">
        <v>19</v>
      </c>
      <c r="D54" s="3" t="s">
        <v>20</v>
      </c>
      <c r="E54" s="3" t="s">
        <v>79</v>
      </c>
      <c r="F54" s="4">
        <v>5.0</v>
      </c>
      <c r="G54" s="4">
        <v>5.0</v>
      </c>
      <c r="H54" s="5">
        <v>2389.7601</v>
      </c>
      <c r="I54" s="6">
        <v>31.0</v>
      </c>
      <c r="J54" s="6">
        <v>5.0</v>
      </c>
      <c r="K54" s="7">
        <v>0.11627906976744186</v>
      </c>
      <c r="L54" s="6">
        <v>43.0</v>
      </c>
      <c r="M54" s="6">
        <v>42.0</v>
      </c>
      <c r="N54" s="7">
        <v>0.9767441860465116</v>
      </c>
      <c r="O54" s="8">
        <v>1.2169697184429327</v>
      </c>
      <c r="P54" s="3">
        <v>10.0</v>
      </c>
      <c r="Q54" s="7">
        <v>0.4</v>
      </c>
      <c r="R54" s="9" t="str">
        <f>IFERROR(__xludf.DUMMYFUNCTION("FILTER('Extração 1'!C:C, 'Extração 1'!A:A = A54, 'Extração 1'!B:B = ""boarding"")"),"#REF!")</f>
        <v>#REF!</v>
      </c>
    </row>
    <row r="55">
      <c r="A55" s="3" t="s">
        <v>84</v>
      </c>
      <c r="C55" s="3" t="s">
        <v>19</v>
      </c>
      <c r="D55" s="3" t="s">
        <v>20</v>
      </c>
      <c r="E55" s="3" t="s">
        <v>79</v>
      </c>
      <c r="F55" s="4">
        <v>2.0</v>
      </c>
      <c r="G55" s="4">
        <v>2.0</v>
      </c>
      <c r="H55" s="5">
        <v>190.4</v>
      </c>
      <c r="I55" s="6">
        <v>14.0</v>
      </c>
      <c r="J55" s="6">
        <v>2.0</v>
      </c>
      <c r="K55" s="7">
        <v>0.1111111111111111</v>
      </c>
      <c r="L55" s="6">
        <v>18.0</v>
      </c>
      <c r="M55" s="6">
        <v>16.0</v>
      </c>
      <c r="N55" s="7">
        <v>0.8888888888888888</v>
      </c>
      <c r="O55" s="8">
        <v>0.6546006944444445</v>
      </c>
      <c r="Q55" s="7">
        <v>0.0</v>
      </c>
      <c r="R55" s="9" t="str">
        <f>IFERROR(__xludf.DUMMYFUNCTION("FILTER('Extração 1'!C:C, 'Extração 1'!A:A = A55, 'Extração 1'!B:B = ""boarding"")"),"#REF!")</f>
        <v>#REF!</v>
      </c>
    </row>
    <row r="56">
      <c r="A56" s="3" t="s">
        <v>85</v>
      </c>
      <c r="C56" s="3" t="s">
        <v>19</v>
      </c>
      <c r="D56" s="3" t="s">
        <v>20</v>
      </c>
      <c r="E56" s="3" t="s">
        <v>79</v>
      </c>
      <c r="F56" s="4">
        <v>2.0</v>
      </c>
      <c r="G56" s="4">
        <v>2.0</v>
      </c>
      <c r="H56" s="5">
        <v>0.0</v>
      </c>
      <c r="I56" s="6">
        <v>1.0</v>
      </c>
      <c r="J56" s="6">
        <v>0.0</v>
      </c>
      <c r="K56" s="7">
        <v>0.0</v>
      </c>
      <c r="L56" s="6">
        <v>1.0</v>
      </c>
      <c r="M56" s="6">
        <v>1.0</v>
      </c>
      <c r="N56" s="7">
        <v>1.0</v>
      </c>
      <c r="O56" s="8">
        <v>6.360833333333333</v>
      </c>
      <c r="Q56" s="7"/>
      <c r="R56" s="9" t="str">
        <f>IFERROR(__xludf.DUMMYFUNCTION("FILTER('Extração 1'!C:C, 'Extração 1'!A:A = A56, 'Extração 1'!B:B = ""boarding"")"),"#REF!")</f>
        <v>#REF!</v>
      </c>
    </row>
    <row r="57">
      <c r="A57" s="3" t="s">
        <v>86</v>
      </c>
      <c r="C57" s="3" t="s">
        <v>19</v>
      </c>
      <c r="D57" s="3" t="s">
        <v>20</v>
      </c>
      <c r="E57" s="3" t="s">
        <v>79</v>
      </c>
      <c r="F57" s="4">
        <v>6.0</v>
      </c>
      <c r="G57" s="4">
        <v>6.0</v>
      </c>
      <c r="H57" s="5">
        <v>8807.14</v>
      </c>
      <c r="I57" s="6">
        <v>173.0</v>
      </c>
      <c r="J57" s="6">
        <v>31.0</v>
      </c>
      <c r="K57" s="7">
        <v>0.15816326530612246</v>
      </c>
      <c r="L57" s="6">
        <v>179.0</v>
      </c>
      <c r="M57" s="6">
        <v>179.0</v>
      </c>
      <c r="N57" s="7">
        <v>1.0</v>
      </c>
      <c r="O57" s="8">
        <v>0.1515678898421566</v>
      </c>
      <c r="P57" s="3">
        <v>10.0</v>
      </c>
      <c r="Q57" s="7">
        <v>0.3225806451612903</v>
      </c>
      <c r="R57" s="9" t="str">
        <f>IFERROR(__xludf.DUMMYFUNCTION("FILTER('Extração 1'!C:C, 'Extração 1'!A:A = A57, 'Extração 1'!B:B = ""boarding"")"),"#REF!")</f>
        <v>#REF!</v>
      </c>
    </row>
    <row r="58">
      <c r="A58" s="3" t="s">
        <v>87</v>
      </c>
      <c r="C58" s="3" t="s">
        <v>19</v>
      </c>
      <c r="D58" s="3" t="s">
        <v>20</v>
      </c>
      <c r="E58" s="3" t="s">
        <v>79</v>
      </c>
      <c r="F58" s="4">
        <v>8.0</v>
      </c>
      <c r="G58" s="4">
        <v>8.0</v>
      </c>
      <c r="H58" s="5">
        <v>25534.570100000004</v>
      </c>
      <c r="I58" s="6">
        <v>94.0</v>
      </c>
      <c r="J58" s="6">
        <v>37.0</v>
      </c>
      <c r="K58" s="7">
        <v>0.33636363636363636</v>
      </c>
      <c r="L58" s="6">
        <v>85.0</v>
      </c>
      <c r="M58" s="6">
        <v>83.0</v>
      </c>
      <c r="N58" s="7">
        <v>0.9764705882352941</v>
      </c>
      <c r="O58" s="8">
        <v>1.2169124646735088</v>
      </c>
      <c r="P58" s="3">
        <v>10.0</v>
      </c>
      <c r="Q58" s="7">
        <v>0.10526315789473684</v>
      </c>
      <c r="R58" s="9" t="str">
        <f>IFERROR(__xludf.DUMMYFUNCTION("FILTER('Extração 1'!C:C, 'Extração 1'!A:A = A58, 'Extração 1'!B:B = ""boarding"")"),"#REF!")</f>
        <v>#REF!</v>
      </c>
    </row>
    <row r="59">
      <c r="A59" s="3" t="s">
        <v>88</v>
      </c>
      <c r="B59" s="3" t="s">
        <v>68</v>
      </c>
      <c r="C59" s="3" t="s">
        <v>19</v>
      </c>
      <c r="D59" s="3" t="s">
        <v>20</v>
      </c>
      <c r="E59" s="3" t="s">
        <v>79</v>
      </c>
      <c r="F59" s="4">
        <v>2.0</v>
      </c>
      <c r="G59" s="4">
        <v>2.0</v>
      </c>
      <c r="H59" s="5">
        <v>19846.220000000005</v>
      </c>
      <c r="I59" s="6">
        <v>92.0</v>
      </c>
      <c r="J59" s="6">
        <v>26.0</v>
      </c>
      <c r="K59" s="7">
        <v>0.23636363636363636</v>
      </c>
      <c r="L59" s="6">
        <v>109.0</v>
      </c>
      <c r="M59" s="6">
        <v>100.0</v>
      </c>
      <c r="N59" s="7">
        <v>0.9174311926605505</v>
      </c>
      <c r="O59" s="8">
        <v>0.9265448120915033</v>
      </c>
      <c r="P59" s="3">
        <v>10.0</v>
      </c>
      <c r="Q59" s="7">
        <v>0.4074074074074074</v>
      </c>
      <c r="R59" s="9" t="str">
        <f>IFERROR(__xludf.DUMMYFUNCTION("FILTER('Extração 1'!C:C, 'Extração 1'!A:A = A59, 'Extração 1'!B:B = ""boarding"")"),"#REF!")</f>
        <v>#REF!</v>
      </c>
    </row>
    <row r="60">
      <c r="A60" s="3" t="s">
        <v>89</v>
      </c>
      <c r="C60" s="3" t="s">
        <v>19</v>
      </c>
      <c r="D60" s="3" t="s">
        <v>20</v>
      </c>
      <c r="E60" s="3" t="s">
        <v>79</v>
      </c>
      <c r="F60" s="4">
        <v>4.0</v>
      </c>
      <c r="G60" s="4">
        <v>4.0</v>
      </c>
      <c r="H60" s="5">
        <v>18606.039800000002</v>
      </c>
      <c r="I60" s="6">
        <v>66.0</v>
      </c>
      <c r="J60" s="6">
        <v>32.0</v>
      </c>
      <c r="K60" s="7">
        <v>0.4266666666666667</v>
      </c>
      <c r="L60" s="6">
        <v>69.0</v>
      </c>
      <c r="M60" s="6">
        <v>69.0</v>
      </c>
      <c r="N60" s="7">
        <v>1.0</v>
      </c>
      <c r="O60" s="8">
        <v>0.02221159420289855</v>
      </c>
      <c r="P60" s="3">
        <v>10.0</v>
      </c>
      <c r="Q60" s="7">
        <v>0.29411764705882354</v>
      </c>
      <c r="R60" s="9" t="str">
        <f>IFERROR(__xludf.DUMMYFUNCTION("FILTER('Extração 1'!C:C, 'Extração 1'!A:A = A60, 'Extração 1'!B:B = ""boarding"")"),"#REF!")</f>
        <v>#REF!</v>
      </c>
    </row>
    <row r="61">
      <c r="A61" s="3" t="s">
        <v>90</v>
      </c>
      <c r="C61" s="3" t="s">
        <v>19</v>
      </c>
      <c r="D61" s="3" t="s">
        <v>20</v>
      </c>
      <c r="E61" s="3" t="s">
        <v>91</v>
      </c>
      <c r="F61" s="4">
        <v>2.0</v>
      </c>
      <c r="G61" s="4">
        <v>2.0</v>
      </c>
      <c r="H61" s="5">
        <v>0.0</v>
      </c>
      <c r="I61" s="6">
        <v>2.0</v>
      </c>
      <c r="J61" s="6">
        <v>0.0</v>
      </c>
      <c r="K61" s="7">
        <v>0.0</v>
      </c>
      <c r="L61" s="6">
        <v>1.0</v>
      </c>
      <c r="M61" s="6">
        <v>0.0</v>
      </c>
      <c r="N61" s="7">
        <v>0.0</v>
      </c>
      <c r="O61" s="8"/>
      <c r="Q61" s="7"/>
      <c r="R61" s="9" t="str">
        <f>IFERROR(__xludf.DUMMYFUNCTION("FILTER('Extração 1'!C:C, 'Extração 1'!A:A = A61, 'Extração 1'!B:B = ""boarding"")"),"#REF!")</f>
        <v>#REF!</v>
      </c>
    </row>
    <row r="62">
      <c r="A62" s="3" t="s">
        <v>92</v>
      </c>
      <c r="C62" s="3" t="s">
        <v>19</v>
      </c>
      <c r="D62" s="3" t="s">
        <v>20</v>
      </c>
      <c r="E62" s="3" t="s">
        <v>91</v>
      </c>
      <c r="F62" s="4">
        <v>6.0</v>
      </c>
      <c r="G62" s="4">
        <v>6.0</v>
      </c>
      <c r="H62" s="5">
        <v>40740.76000000002</v>
      </c>
      <c r="I62" s="6">
        <v>426.0</v>
      </c>
      <c r="J62" s="6">
        <v>138.0</v>
      </c>
      <c r="K62" s="7">
        <v>0.2593984962406015</v>
      </c>
      <c r="L62" s="6">
        <v>500.0</v>
      </c>
      <c r="M62" s="6">
        <v>490.0</v>
      </c>
      <c r="N62" s="7">
        <v>0.98</v>
      </c>
      <c r="O62" s="8">
        <v>0.08018101716877228</v>
      </c>
      <c r="P62" s="3">
        <v>9.964285714285714</v>
      </c>
      <c r="Q62" s="7">
        <v>0.4117647058823529</v>
      </c>
      <c r="R62" s="9" t="str">
        <f>IFERROR(__xludf.DUMMYFUNCTION("FILTER('Extração 1'!C:C, 'Extração 1'!A:A = A62, 'Extração 1'!B:B = ""boarding"")"),"#REF!")</f>
        <v>#REF!</v>
      </c>
    </row>
    <row r="63">
      <c r="A63" s="3" t="s">
        <v>93</v>
      </c>
      <c r="C63" s="3" t="s">
        <v>19</v>
      </c>
      <c r="D63" s="3" t="s">
        <v>20</v>
      </c>
      <c r="E63" s="3" t="s">
        <v>91</v>
      </c>
      <c r="F63" s="4">
        <v>3.0</v>
      </c>
      <c r="G63" s="4">
        <v>3.0</v>
      </c>
      <c r="H63" s="5">
        <v>3528.8</v>
      </c>
      <c r="I63" s="6">
        <v>21.0</v>
      </c>
      <c r="J63" s="6">
        <v>5.0</v>
      </c>
      <c r="K63" s="7">
        <v>0.21739130434782608</v>
      </c>
      <c r="L63" s="6">
        <v>22.0</v>
      </c>
      <c r="M63" s="6">
        <v>18.0</v>
      </c>
      <c r="N63" s="7">
        <v>0.8181818181818182</v>
      </c>
      <c r="O63" s="8">
        <v>3.133305362654321</v>
      </c>
      <c r="P63" s="3">
        <v>10.0</v>
      </c>
      <c r="Q63" s="7">
        <v>0.16666666666666666</v>
      </c>
      <c r="R63" s="9" t="str">
        <f>IFERROR(__xludf.DUMMYFUNCTION("FILTER('Extração 1'!C:C, 'Extração 1'!A:A = A63, 'Extração 1'!B:B = ""boarding"")"),"#REF!")</f>
        <v>#REF!</v>
      </c>
    </row>
    <row r="64">
      <c r="A64" s="3" t="s">
        <v>94</v>
      </c>
      <c r="C64" s="3" t="s">
        <v>19</v>
      </c>
      <c r="D64" s="3" t="s">
        <v>20</v>
      </c>
      <c r="E64" s="3" t="s">
        <v>95</v>
      </c>
      <c r="F64" s="4">
        <v>2.0</v>
      </c>
      <c r="G64" s="4">
        <v>2.0</v>
      </c>
      <c r="H64" s="5">
        <v>12802.4</v>
      </c>
      <c r="I64" s="6">
        <v>44.0</v>
      </c>
      <c r="J64" s="6">
        <v>24.0</v>
      </c>
      <c r="K64" s="7">
        <v>0.38095238095238093</v>
      </c>
      <c r="L64" s="6">
        <v>56.0</v>
      </c>
      <c r="M64" s="6">
        <v>56.0</v>
      </c>
      <c r="N64" s="7">
        <v>1.0</v>
      </c>
      <c r="O64" s="8">
        <v>0.7027215608465608</v>
      </c>
      <c r="P64" s="3">
        <v>10.0</v>
      </c>
      <c r="Q64" s="7">
        <v>0.5</v>
      </c>
      <c r="R64" s="9" t="str">
        <f>IFERROR(__xludf.DUMMYFUNCTION("FILTER('Extração 1'!C:C, 'Extração 1'!A:A = A64, 'Extração 1'!B:B = ""boarding"")"),"#REF!")</f>
        <v>#REF!</v>
      </c>
    </row>
    <row r="65">
      <c r="A65" s="3" t="s">
        <v>96</v>
      </c>
      <c r="C65" s="3" t="s">
        <v>19</v>
      </c>
      <c r="D65" s="3" t="s">
        <v>20</v>
      </c>
      <c r="E65" s="3" t="s">
        <v>95</v>
      </c>
      <c r="F65" s="4">
        <v>3.0</v>
      </c>
      <c r="G65" s="4">
        <v>3.0</v>
      </c>
      <c r="H65" s="5">
        <v>9347.32</v>
      </c>
      <c r="I65" s="6">
        <v>79.0</v>
      </c>
      <c r="J65" s="6">
        <v>36.0</v>
      </c>
      <c r="K65" s="7">
        <v>0.43373493975903615</v>
      </c>
      <c r="L65" s="6">
        <v>76.0</v>
      </c>
      <c r="M65" s="6">
        <v>75.0</v>
      </c>
      <c r="N65" s="7">
        <v>0.9868421052631579</v>
      </c>
      <c r="O65" s="8">
        <v>0.16382383512544804</v>
      </c>
      <c r="P65" s="3">
        <v>10.0</v>
      </c>
      <c r="Q65" s="7">
        <v>0.08108108108108109</v>
      </c>
      <c r="R65" s="9" t="str">
        <f>IFERROR(__xludf.DUMMYFUNCTION("FILTER('Extração 1'!C:C, 'Extração 1'!A:A = A65, 'Extração 1'!B:B = ""boarding"")"),"#REF!")</f>
        <v>#REF!</v>
      </c>
    </row>
    <row r="66">
      <c r="A66" s="3" t="s">
        <v>97</v>
      </c>
      <c r="C66" s="3" t="s">
        <v>19</v>
      </c>
      <c r="D66" s="3" t="s">
        <v>20</v>
      </c>
      <c r="E66" s="3" t="s">
        <v>98</v>
      </c>
      <c r="F66" s="4">
        <v>2.0</v>
      </c>
      <c r="G66" s="4">
        <v>2.0</v>
      </c>
      <c r="H66" s="5">
        <v>806.4</v>
      </c>
      <c r="I66" s="6">
        <v>8.0</v>
      </c>
      <c r="J66" s="6">
        <v>2.0</v>
      </c>
      <c r="K66" s="7">
        <v>0.2222222222222222</v>
      </c>
      <c r="L66" s="6">
        <v>7.0</v>
      </c>
      <c r="M66" s="6">
        <v>7.0</v>
      </c>
      <c r="N66" s="7">
        <v>1.0</v>
      </c>
      <c r="O66" s="8">
        <v>1.7548356009070296</v>
      </c>
      <c r="Q66" s="7">
        <v>0.0</v>
      </c>
      <c r="R66" s="9" t="str">
        <f>IFERROR(__xludf.DUMMYFUNCTION("FILTER('Extração 1'!C:C, 'Extração 1'!A:A = A66, 'Extração 1'!B:B = ""boarding"")"),"#REF!")</f>
        <v>#REF!</v>
      </c>
    </row>
    <row r="67">
      <c r="A67" s="3" t="s">
        <v>99</v>
      </c>
      <c r="B67" s="3" t="s">
        <v>55</v>
      </c>
      <c r="C67" s="3" t="s">
        <v>19</v>
      </c>
      <c r="D67" s="3" t="s">
        <v>20</v>
      </c>
      <c r="E67" s="3" t="s">
        <v>98</v>
      </c>
      <c r="F67" s="4">
        <v>7.0</v>
      </c>
      <c r="G67" s="4">
        <v>7.0</v>
      </c>
      <c r="H67" s="5">
        <v>21318.229999999996</v>
      </c>
      <c r="I67" s="6">
        <v>379.0</v>
      </c>
      <c r="J67" s="6">
        <v>90.0</v>
      </c>
      <c r="K67" s="7">
        <v>0.19189765458422176</v>
      </c>
      <c r="L67" s="6">
        <v>406.0</v>
      </c>
      <c r="M67" s="6">
        <v>379.0</v>
      </c>
      <c r="N67" s="7">
        <v>0.9334975369458128</v>
      </c>
      <c r="O67" s="8">
        <v>0.2984924056371783</v>
      </c>
      <c r="P67" s="3">
        <v>10.0</v>
      </c>
      <c r="Q67" s="7">
        <v>0.20430107526881722</v>
      </c>
      <c r="R67" s="9" t="str">
        <f>IFERROR(__xludf.DUMMYFUNCTION("FILTER('Extração 1'!C:C, 'Extração 1'!A:A = A67, 'Extração 1'!B:B = ""boarding"")"),"#REF!")</f>
        <v>#REF!</v>
      </c>
    </row>
    <row r="68">
      <c r="A68" s="3" t="s">
        <v>100</v>
      </c>
      <c r="B68" s="3" t="s">
        <v>55</v>
      </c>
      <c r="C68" s="3" t="s">
        <v>19</v>
      </c>
      <c r="D68" s="3" t="s">
        <v>20</v>
      </c>
      <c r="E68" s="3" t="s">
        <v>98</v>
      </c>
      <c r="F68" s="4">
        <v>4.0</v>
      </c>
      <c r="G68" s="4">
        <v>4.0</v>
      </c>
      <c r="H68" s="5">
        <v>14748.200000000004</v>
      </c>
      <c r="I68" s="6">
        <v>140.0</v>
      </c>
      <c r="J68" s="6">
        <v>44.0</v>
      </c>
      <c r="K68" s="7">
        <v>0.2391304347826087</v>
      </c>
      <c r="L68" s="6">
        <v>149.0</v>
      </c>
      <c r="M68" s="6">
        <v>147.0</v>
      </c>
      <c r="N68" s="7">
        <v>0.9865771812080537</v>
      </c>
      <c r="O68" s="8">
        <v>0.8556468698590547</v>
      </c>
      <c r="P68" s="3">
        <v>10.0</v>
      </c>
      <c r="Q68" s="7">
        <v>0.4186046511627907</v>
      </c>
      <c r="R68" s="9" t="str">
        <f>IFERROR(__xludf.DUMMYFUNCTION("FILTER('Extração 1'!C:C, 'Extração 1'!A:A = A68, 'Extração 1'!B:B = ""boarding"")"),"#REF!")</f>
        <v>#REF!</v>
      </c>
    </row>
    <row r="69">
      <c r="A69" s="3" t="s">
        <v>101</v>
      </c>
      <c r="C69" s="3" t="s">
        <v>19</v>
      </c>
      <c r="D69" s="3" t="s">
        <v>20</v>
      </c>
      <c r="E69" s="3" t="s">
        <v>98</v>
      </c>
      <c r="F69" s="4">
        <v>4.0</v>
      </c>
      <c r="G69" s="4">
        <v>4.0</v>
      </c>
      <c r="H69" s="5">
        <v>487.5</v>
      </c>
      <c r="I69" s="6">
        <v>3.0</v>
      </c>
      <c r="J69" s="6">
        <v>1.0</v>
      </c>
      <c r="K69" s="7">
        <v>0.3333333333333333</v>
      </c>
      <c r="L69" s="6">
        <v>3.0</v>
      </c>
      <c r="M69" s="6">
        <v>2.0</v>
      </c>
      <c r="N69" s="7">
        <v>0.6666666666666666</v>
      </c>
      <c r="O69" s="8">
        <v>6.034097222222222</v>
      </c>
      <c r="Q69" s="7">
        <v>0.0</v>
      </c>
      <c r="R69" s="9" t="str">
        <f>IFERROR(__xludf.DUMMYFUNCTION("FILTER('Extração 1'!C:C, 'Extração 1'!A:A = A69, 'Extração 1'!B:B = ""boarding"")"),"#REF!")</f>
        <v>#REF!</v>
      </c>
    </row>
    <row r="70">
      <c r="A70" s="3" t="s">
        <v>102</v>
      </c>
      <c r="C70" s="3" t="s">
        <v>19</v>
      </c>
      <c r="D70" s="3" t="s">
        <v>20</v>
      </c>
      <c r="E70" s="3" t="s">
        <v>103</v>
      </c>
      <c r="F70" s="4">
        <v>5.0</v>
      </c>
      <c r="G70" s="4">
        <v>5.0</v>
      </c>
      <c r="H70" s="5">
        <v>33839.38999999999</v>
      </c>
      <c r="I70" s="6">
        <v>294.0</v>
      </c>
      <c r="J70" s="6">
        <v>67.0</v>
      </c>
      <c r="K70" s="7">
        <v>0.1925287356321839</v>
      </c>
      <c r="L70" s="6">
        <v>309.0</v>
      </c>
      <c r="M70" s="6">
        <v>288.0</v>
      </c>
      <c r="N70" s="7">
        <v>0.9320388349514563</v>
      </c>
      <c r="O70" s="8">
        <v>0.22888103920310873</v>
      </c>
      <c r="P70" s="3">
        <v>10.0</v>
      </c>
      <c r="Q70" s="7">
        <v>0.15942028985507245</v>
      </c>
      <c r="R70" s="9" t="str">
        <f>IFERROR(__xludf.DUMMYFUNCTION("FILTER('Extração 1'!C:C, 'Extração 1'!A:A = A70, 'Extração 1'!B:B = ""boarding"")"),"#REF!")</f>
        <v>#REF!</v>
      </c>
    </row>
    <row r="71">
      <c r="A71" s="3" t="s">
        <v>104</v>
      </c>
      <c r="C71" s="3" t="s">
        <v>19</v>
      </c>
      <c r="D71" s="3" t="s">
        <v>20</v>
      </c>
      <c r="E71" s="3" t="s">
        <v>103</v>
      </c>
      <c r="F71" s="4">
        <v>6.0</v>
      </c>
      <c r="G71" s="4">
        <v>6.0</v>
      </c>
      <c r="H71" s="5">
        <v>0.0</v>
      </c>
      <c r="I71" s="6">
        <v>6.0</v>
      </c>
      <c r="J71" s="6">
        <v>0.0</v>
      </c>
      <c r="K71" s="7">
        <v>0.0</v>
      </c>
      <c r="L71" s="6">
        <v>6.0</v>
      </c>
      <c r="M71" s="6">
        <v>2.0</v>
      </c>
      <c r="N71" s="7">
        <v>0.3333333333333333</v>
      </c>
      <c r="O71" s="8">
        <v>0.0751388888888889</v>
      </c>
      <c r="Q71" s="7"/>
      <c r="R71" s="9" t="str">
        <f>IFERROR(__xludf.DUMMYFUNCTION("FILTER('Extração 1'!C:C, 'Extração 1'!A:A = A71, 'Extração 1'!B:B = ""boarding"")"),"#REF!")</f>
        <v>#REF!</v>
      </c>
    </row>
    <row r="72">
      <c r="A72" s="3" t="s">
        <v>105</v>
      </c>
      <c r="C72" s="3" t="s">
        <v>19</v>
      </c>
      <c r="D72" s="3" t="s">
        <v>20</v>
      </c>
      <c r="E72" s="3" t="s">
        <v>103</v>
      </c>
      <c r="F72" s="4">
        <v>6.0</v>
      </c>
      <c r="G72" s="4">
        <v>6.0</v>
      </c>
      <c r="H72" s="5">
        <v>0.0</v>
      </c>
      <c r="I72" s="6">
        <v>2.0</v>
      </c>
      <c r="J72" s="6">
        <v>0.0</v>
      </c>
      <c r="K72" s="7">
        <v>0.0</v>
      </c>
      <c r="L72" s="6">
        <v>2.0</v>
      </c>
      <c r="M72" s="6">
        <v>0.0</v>
      </c>
      <c r="N72" s="7">
        <v>0.0</v>
      </c>
      <c r="O72" s="8"/>
      <c r="Q72" s="7"/>
      <c r="R72" s="9" t="str">
        <f>IFERROR(__xludf.DUMMYFUNCTION("FILTER('Extração 1'!C:C, 'Extração 1'!A:A = A72, 'Extração 1'!B:B = ""boarding"")"),"#REF!")</f>
        <v>#REF!</v>
      </c>
    </row>
    <row r="73">
      <c r="A73" s="3" t="s">
        <v>106</v>
      </c>
      <c r="C73" s="3" t="s">
        <v>19</v>
      </c>
      <c r="D73" s="3" t="s">
        <v>20</v>
      </c>
      <c r="E73" s="3" t="s">
        <v>103</v>
      </c>
      <c r="F73" s="4">
        <v>2.0</v>
      </c>
      <c r="G73" s="4">
        <v>2.0</v>
      </c>
      <c r="H73" s="5">
        <v>0.0</v>
      </c>
      <c r="I73" s="6">
        <v>1.0</v>
      </c>
      <c r="J73" s="6">
        <v>0.0</v>
      </c>
      <c r="K73" s="7">
        <v>0.0</v>
      </c>
      <c r="L73" s="6">
        <v>1.0</v>
      </c>
      <c r="M73" s="6">
        <v>1.0</v>
      </c>
      <c r="N73" s="7">
        <v>1.0</v>
      </c>
      <c r="O73" s="8">
        <v>0.8127777777777778</v>
      </c>
      <c r="Q73" s="7"/>
      <c r="R73" s="9" t="str">
        <f>IFERROR(__xludf.DUMMYFUNCTION("FILTER('Extração 1'!C:C, 'Extração 1'!A:A = A73, 'Extração 1'!B:B = ""boarding"")"),"#REF!")</f>
        <v>#REF!</v>
      </c>
    </row>
    <row r="74">
      <c r="A74" s="3" t="s">
        <v>107</v>
      </c>
      <c r="C74" s="3" t="s">
        <v>19</v>
      </c>
      <c r="D74" s="3" t="s">
        <v>20</v>
      </c>
      <c r="E74" s="3" t="s">
        <v>103</v>
      </c>
      <c r="F74" s="4">
        <v>2.0</v>
      </c>
      <c r="G74" s="4">
        <v>2.0</v>
      </c>
      <c r="H74" s="5">
        <v>3822.86</v>
      </c>
      <c r="I74" s="6">
        <v>24.0</v>
      </c>
      <c r="J74" s="6">
        <v>8.0</v>
      </c>
      <c r="K74" s="7">
        <v>0.26666666666666666</v>
      </c>
      <c r="L74" s="6">
        <v>23.0</v>
      </c>
      <c r="M74" s="6">
        <v>23.0</v>
      </c>
      <c r="N74" s="7">
        <v>1.0</v>
      </c>
      <c r="O74" s="8">
        <v>0.09467107132708157</v>
      </c>
      <c r="P74" s="3">
        <v>10.0</v>
      </c>
      <c r="Q74" s="7">
        <v>0.125</v>
      </c>
      <c r="R74" s="9" t="str">
        <f>IFERROR(__xludf.DUMMYFUNCTION("FILTER('Extração 1'!C:C, 'Extração 1'!A:A = A74, 'Extração 1'!B:B = ""boarding"")"),"#REF!")</f>
        <v>#REF!</v>
      </c>
    </row>
    <row r="75">
      <c r="A75" s="3" t="s">
        <v>108</v>
      </c>
      <c r="C75" s="3" t="s">
        <v>19</v>
      </c>
      <c r="D75" s="3" t="s">
        <v>20</v>
      </c>
      <c r="E75" s="3" t="s">
        <v>109</v>
      </c>
      <c r="F75" s="4">
        <v>4.0</v>
      </c>
      <c r="G75" s="4">
        <v>4.0</v>
      </c>
      <c r="H75" s="5">
        <v>4988.620000000001</v>
      </c>
      <c r="I75" s="6">
        <v>102.0</v>
      </c>
      <c r="J75" s="6">
        <v>21.0</v>
      </c>
      <c r="K75" s="7">
        <v>0.1794871794871795</v>
      </c>
      <c r="L75" s="6">
        <v>97.0</v>
      </c>
      <c r="M75" s="6">
        <v>95.0</v>
      </c>
      <c r="N75" s="7">
        <v>0.979381443298969</v>
      </c>
      <c r="O75" s="8">
        <v>0.1197983369883041</v>
      </c>
      <c r="P75" s="3">
        <v>10.0</v>
      </c>
      <c r="Q75" s="7">
        <v>0.47619047619047616</v>
      </c>
      <c r="R75" s="9" t="str">
        <f>IFERROR(__xludf.DUMMYFUNCTION("FILTER('Extração 1'!C:C, 'Extração 1'!A:A = A75, 'Extração 1'!B:B = ""boarding"")"),"#REF!")</f>
        <v>#REF!</v>
      </c>
    </row>
    <row r="76">
      <c r="A76" s="3" t="s">
        <v>110</v>
      </c>
      <c r="C76" s="3" t="s">
        <v>19</v>
      </c>
      <c r="D76" s="3" t="s">
        <v>20</v>
      </c>
      <c r="E76" s="3" t="s">
        <v>109</v>
      </c>
      <c r="F76" s="4"/>
      <c r="G76" s="4"/>
      <c r="H76" s="5">
        <v>4644.7699</v>
      </c>
      <c r="I76" s="6">
        <v>17.0</v>
      </c>
      <c r="J76" s="6">
        <v>4.0</v>
      </c>
      <c r="K76" s="7">
        <v>0.17391304347826086</v>
      </c>
      <c r="L76" s="6">
        <v>20.0</v>
      </c>
      <c r="M76" s="6">
        <v>20.0</v>
      </c>
      <c r="N76" s="7">
        <v>1.0</v>
      </c>
      <c r="O76" s="8">
        <v>0.00611574074074074</v>
      </c>
      <c r="P76" s="3">
        <v>10.0</v>
      </c>
      <c r="Q76" s="7">
        <v>0.2</v>
      </c>
      <c r="R76" s="2">
        <v>134.0</v>
      </c>
    </row>
    <row r="77">
      <c r="A77" s="3" t="s">
        <v>111</v>
      </c>
      <c r="C77" s="3" t="s">
        <v>19</v>
      </c>
      <c r="D77" s="3" t="s">
        <v>20</v>
      </c>
      <c r="E77" s="3" t="s">
        <v>109</v>
      </c>
      <c r="F77" s="4">
        <v>4.0</v>
      </c>
      <c r="G77" s="4">
        <v>4.0</v>
      </c>
      <c r="H77" s="5">
        <v>8630.66</v>
      </c>
      <c r="I77" s="6">
        <v>84.0</v>
      </c>
      <c r="J77" s="6">
        <v>21.0</v>
      </c>
      <c r="K77" s="7">
        <v>0.22826086956521738</v>
      </c>
      <c r="L77" s="6">
        <v>84.0</v>
      </c>
      <c r="M77" s="6">
        <v>78.0</v>
      </c>
      <c r="N77" s="7">
        <v>0.9285714285714286</v>
      </c>
      <c r="O77" s="8">
        <v>0.9303968702865762</v>
      </c>
      <c r="P77" s="3">
        <v>10.0</v>
      </c>
      <c r="Q77" s="7">
        <v>0.2857142857142857</v>
      </c>
      <c r="R77" s="9" t="str">
        <f>IFERROR(__xludf.DUMMYFUNCTION("FILTER('Extração 1'!C:C, 'Extração 1'!A:A = A77, 'Extração 1'!B:B = ""boarding"")"),"#REF!")</f>
        <v>#REF!</v>
      </c>
    </row>
    <row r="78">
      <c r="A78" s="3" t="s">
        <v>112</v>
      </c>
      <c r="C78" s="3" t="s">
        <v>19</v>
      </c>
      <c r="D78" s="3" t="s">
        <v>20</v>
      </c>
      <c r="E78" s="3" t="s">
        <v>109</v>
      </c>
      <c r="F78" s="4">
        <v>6.0</v>
      </c>
      <c r="G78" s="4">
        <v>6.0</v>
      </c>
      <c r="H78" s="5">
        <v>0.0</v>
      </c>
      <c r="I78" s="6">
        <v>1.0</v>
      </c>
      <c r="J78" s="6">
        <v>0.0</v>
      </c>
      <c r="K78" s="7">
        <v>0.0</v>
      </c>
      <c r="L78" s="6">
        <v>1.0</v>
      </c>
      <c r="M78" s="6">
        <v>1.0</v>
      </c>
      <c r="N78" s="7">
        <v>1.0</v>
      </c>
      <c r="O78" s="8">
        <v>0.0961111111111111</v>
      </c>
      <c r="Q78" s="7"/>
      <c r="R78" s="9" t="str">
        <f>IFERROR(__xludf.DUMMYFUNCTION("FILTER('Extração 1'!C:C, 'Extração 1'!A:A = A78, 'Extração 1'!B:B = ""boarding"")"),"#REF!")</f>
        <v>#REF!</v>
      </c>
    </row>
    <row r="79">
      <c r="A79" s="3" t="s">
        <v>113</v>
      </c>
      <c r="C79" s="3" t="s">
        <v>19</v>
      </c>
      <c r="D79" s="3" t="s">
        <v>20</v>
      </c>
      <c r="E79" s="3" t="s">
        <v>109</v>
      </c>
      <c r="F79" s="4">
        <v>2.0</v>
      </c>
      <c r="G79" s="4">
        <v>2.0</v>
      </c>
      <c r="H79" s="5">
        <v>10889.799999999996</v>
      </c>
      <c r="I79" s="6">
        <v>76.0</v>
      </c>
      <c r="J79" s="6">
        <v>32.0</v>
      </c>
      <c r="K79" s="7">
        <v>0.3368421052631579</v>
      </c>
      <c r="L79" s="6">
        <v>77.0</v>
      </c>
      <c r="M79" s="6">
        <v>74.0</v>
      </c>
      <c r="N79" s="7">
        <v>0.961038961038961</v>
      </c>
      <c r="O79" s="8">
        <v>0.3194776026026026</v>
      </c>
      <c r="P79" s="3">
        <v>10.0</v>
      </c>
      <c r="Q79" s="7">
        <v>0.375</v>
      </c>
      <c r="R79" s="9" t="str">
        <f>IFERROR(__xludf.DUMMYFUNCTION("FILTER('Extração 1'!C:C, 'Extração 1'!A:A = A79, 'Extração 1'!B:B = ""boarding"")"),"#REF!")</f>
        <v>#REF!</v>
      </c>
    </row>
    <row r="80">
      <c r="A80" s="3" t="s">
        <v>114</v>
      </c>
      <c r="C80" s="3" t="s">
        <v>19</v>
      </c>
      <c r="D80" s="3" t="s">
        <v>20</v>
      </c>
      <c r="E80" s="3" t="s">
        <v>109</v>
      </c>
      <c r="F80" s="4"/>
      <c r="G80" s="4"/>
      <c r="H80" s="5">
        <v>770.25</v>
      </c>
      <c r="I80" s="6">
        <v>28.0</v>
      </c>
      <c r="J80" s="6">
        <v>2.0</v>
      </c>
      <c r="K80" s="7">
        <v>0.06451612903225806</v>
      </c>
      <c r="L80" s="6">
        <v>32.0</v>
      </c>
      <c r="M80" s="6">
        <v>30.0</v>
      </c>
      <c r="N80" s="7">
        <v>0.9375</v>
      </c>
      <c r="O80" s="8">
        <v>1.2476797385620915</v>
      </c>
      <c r="P80" s="3">
        <v>10.0</v>
      </c>
      <c r="Q80" s="7">
        <v>0.5</v>
      </c>
      <c r="R80" s="2">
        <v>60.0</v>
      </c>
    </row>
    <row r="81">
      <c r="A81" s="3" t="s">
        <v>115</v>
      </c>
      <c r="C81" s="3" t="s">
        <v>19</v>
      </c>
      <c r="D81" s="3" t="s">
        <v>20</v>
      </c>
      <c r="E81" s="3" t="s">
        <v>116</v>
      </c>
      <c r="F81" s="4">
        <v>3.0</v>
      </c>
      <c r="G81" s="4">
        <v>3.0</v>
      </c>
      <c r="H81" s="5">
        <v>1075.8999999999999</v>
      </c>
      <c r="I81" s="6">
        <v>8.0</v>
      </c>
      <c r="J81" s="6">
        <v>5.0</v>
      </c>
      <c r="K81" s="7">
        <v>0.5555555555555556</v>
      </c>
      <c r="L81" s="6">
        <v>8.0</v>
      </c>
      <c r="M81" s="6">
        <v>8.0</v>
      </c>
      <c r="N81" s="7">
        <v>1.0</v>
      </c>
      <c r="O81" s="8">
        <v>0.40744444444444444</v>
      </c>
      <c r="Q81" s="7">
        <v>0.0</v>
      </c>
      <c r="R81" s="9" t="str">
        <f>IFERROR(__xludf.DUMMYFUNCTION("FILTER('Extração 1'!C:C, 'Extração 1'!A:A = A81, 'Extração 1'!B:B = ""boarding"")"),"#REF!")</f>
        <v>#REF!</v>
      </c>
    </row>
    <row r="82">
      <c r="A82" s="3" t="s">
        <v>117</v>
      </c>
      <c r="C82" s="3" t="s">
        <v>19</v>
      </c>
      <c r="D82" s="3" t="s">
        <v>20</v>
      </c>
      <c r="E82" s="3" t="s">
        <v>116</v>
      </c>
      <c r="F82" s="4">
        <v>4.0</v>
      </c>
      <c r="G82" s="4">
        <v>4.0</v>
      </c>
      <c r="H82" s="5">
        <v>4150.7</v>
      </c>
      <c r="I82" s="6">
        <v>66.0</v>
      </c>
      <c r="J82" s="6">
        <v>11.0</v>
      </c>
      <c r="K82" s="7">
        <v>0.125</v>
      </c>
      <c r="L82" s="6">
        <v>84.0</v>
      </c>
      <c r="M82" s="6">
        <v>78.0</v>
      </c>
      <c r="N82" s="7">
        <v>0.9285714285714286</v>
      </c>
      <c r="O82" s="8">
        <v>0.37103712425140994</v>
      </c>
      <c r="P82" s="3">
        <v>10.0</v>
      </c>
      <c r="Q82" s="7">
        <v>0.45454545454545453</v>
      </c>
      <c r="R82" s="9" t="str">
        <f>IFERROR(__xludf.DUMMYFUNCTION("FILTER('Extração 1'!C:C, 'Extração 1'!A:A = A82, 'Extração 1'!B:B = ""boarding"")"),"#REF!")</f>
        <v>#REF!</v>
      </c>
    </row>
    <row r="83">
      <c r="A83" s="3" t="s">
        <v>118</v>
      </c>
      <c r="C83" s="3" t="s">
        <v>19</v>
      </c>
      <c r="D83" s="3" t="s">
        <v>20</v>
      </c>
      <c r="E83" s="3" t="s">
        <v>116</v>
      </c>
      <c r="F83" s="4">
        <v>15.0</v>
      </c>
      <c r="G83" s="4">
        <v>15.0</v>
      </c>
      <c r="H83" s="5">
        <v>16917.87</v>
      </c>
      <c r="I83" s="6">
        <v>233.0</v>
      </c>
      <c r="J83" s="6">
        <v>56.0</v>
      </c>
      <c r="K83" s="7">
        <v>0.19047619047619047</v>
      </c>
      <c r="L83" s="6">
        <v>284.0</v>
      </c>
      <c r="M83" s="6">
        <v>284.0</v>
      </c>
      <c r="N83" s="7">
        <v>1.0</v>
      </c>
      <c r="O83" s="8">
        <v>0.16517384241636002</v>
      </c>
      <c r="P83" s="3">
        <v>9.636363636363637</v>
      </c>
      <c r="Q83" s="7">
        <v>0.1896551724137931</v>
      </c>
      <c r="R83" s="9" t="str">
        <f>IFERROR(__xludf.DUMMYFUNCTION("FILTER('Extração 1'!C:C, 'Extração 1'!A:A = A83, 'Extração 1'!B:B = ""boarding"")"),"#REF!")</f>
        <v>#REF!</v>
      </c>
    </row>
    <row r="84">
      <c r="A84" s="3" t="s">
        <v>119</v>
      </c>
      <c r="C84" s="3" t="s">
        <v>19</v>
      </c>
      <c r="D84" s="3" t="s">
        <v>20</v>
      </c>
      <c r="E84" s="3" t="s">
        <v>116</v>
      </c>
      <c r="F84" s="4">
        <v>5.0</v>
      </c>
      <c r="G84" s="4">
        <v>5.0</v>
      </c>
      <c r="H84" s="5">
        <v>1157.47</v>
      </c>
      <c r="I84" s="6">
        <v>64.0</v>
      </c>
      <c r="J84" s="6">
        <v>6.0</v>
      </c>
      <c r="K84" s="7">
        <v>0.08108108108108109</v>
      </c>
      <c r="L84" s="6">
        <v>71.0</v>
      </c>
      <c r="M84" s="6">
        <v>68.0</v>
      </c>
      <c r="N84" s="7">
        <v>0.9577464788732394</v>
      </c>
      <c r="O84" s="8">
        <v>0.10431716967832885</v>
      </c>
      <c r="P84" s="3">
        <v>10.0</v>
      </c>
      <c r="Q84" s="7">
        <v>0.5</v>
      </c>
      <c r="R84" s="9" t="str">
        <f>IFERROR(__xludf.DUMMYFUNCTION("FILTER('Extração 1'!C:C, 'Extração 1'!A:A = A84, 'Extração 1'!B:B = ""boarding"")"),"#REF!")</f>
        <v>#REF!</v>
      </c>
    </row>
    <row r="85">
      <c r="A85" s="3" t="s">
        <v>120</v>
      </c>
      <c r="C85" s="3" t="s">
        <v>19</v>
      </c>
      <c r="D85" s="3" t="s">
        <v>20</v>
      </c>
      <c r="E85" s="3" t="s">
        <v>121</v>
      </c>
      <c r="F85" s="4">
        <v>1.0</v>
      </c>
      <c r="G85" s="4">
        <v>1.0</v>
      </c>
      <c r="H85" s="5">
        <v>0.0</v>
      </c>
      <c r="I85" s="6">
        <v>5.0</v>
      </c>
      <c r="J85" s="6">
        <v>0.0</v>
      </c>
      <c r="K85" s="7">
        <v>0.0</v>
      </c>
      <c r="L85" s="6">
        <v>5.0</v>
      </c>
      <c r="M85" s="6">
        <v>3.0</v>
      </c>
      <c r="N85" s="7">
        <v>0.6</v>
      </c>
      <c r="O85" s="8">
        <v>7.185555555555555</v>
      </c>
      <c r="Q85" s="7"/>
      <c r="R85" s="9" t="str">
        <f>IFERROR(__xludf.DUMMYFUNCTION("FILTER('Extração 1'!C:C, 'Extração 1'!A:A = A85, 'Extração 1'!B:B = ""boarding"")"),"#REF!")</f>
        <v>#REF!</v>
      </c>
    </row>
    <row r="86">
      <c r="A86" s="3" t="s">
        <v>122</v>
      </c>
      <c r="C86" s="3" t="s">
        <v>19</v>
      </c>
      <c r="D86" s="3" t="s">
        <v>20</v>
      </c>
      <c r="E86" s="3" t="s">
        <v>121</v>
      </c>
      <c r="F86" s="4">
        <v>5.0</v>
      </c>
      <c r="G86" s="4">
        <v>5.0</v>
      </c>
      <c r="H86" s="5">
        <v>6432.4000000000015</v>
      </c>
      <c r="I86" s="6">
        <v>59.0</v>
      </c>
      <c r="J86" s="6">
        <v>13.0</v>
      </c>
      <c r="K86" s="7">
        <v>0.2</v>
      </c>
      <c r="L86" s="6">
        <v>61.0</v>
      </c>
      <c r="M86" s="6">
        <v>60.0</v>
      </c>
      <c r="N86" s="7">
        <v>0.9836065573770492</v>
      </c>
      <c r="O86" s="8">
        <v>0.037800747863247865</v>
      </c>
      <c r="P86" s="3">
        <v>10.0</v>
      </c>
      <c r="Q86" s="7">
        <v>0.4</v>
      </c>
      <c r="R86" s="9" t="str">
        <f>IFERROR(__xludf.DUMMYFUNCTION("FILTER('Extração 1'!C:C, 'Extração 1'!A:A = A86, 'Extração 1'!B:B = ""boarding"")"),"#REF!")</f>
        <v>#REF!</v>
      </c>
    </row>
    <row r="87">
      <c r="A87" s="3" t="s">
        <v>123</v>
      </c>
      <c r="C87" s="3" t="s">
        <v>19</v>
      </c>
      <c r="D87" s="3" t="s">
        <v>20</v>
      </c>
      <c r="E87" s="3" t="s">
        <v>121</v>
      </c>
      <c r="F87" s="4">
        <v>5.0</v>
      </c>
      <c r="G87" s="4">
        <v>5.0</v>
      </c>
      <c r="H87" s="5">
        <v>38086.01019999998</v>
      </c>
      <c r="I87" s="6">
        <v>200.0</v>
      </c>
      <c r="J87" s="6">
        <v>97.0</v>
      </c>
      <c r="K87" s="7">
        <v>0.38492063492063494</v>
      </c>
      <c r="L87" s="6">
        <v>235.0</v>
      </c>
      <c r="M87" s="6">
        <v>232.0</v>
      </c>
      <c r="N87" s="7">
        <v>0.9872340425531915</v>
      </c>
      <c r="O87" s="8">
        <v>0.07418516990027445</v>
      </c>
      <c r="P87" s="3">
        <v>10.0</v>
      </c>
      <c r="Q87" s="7">
        <v>0.07</v>
      </c>
      <c r="R87" s="9" t="str">
        <f>IFERROR(__xludf.DUMMYFUNCTION("FILTER('Extração 1'!C:C, 'Extração 1'!A:A = A87, 'Extração 1'!B:B = ""boarding"")"),"#REF!")</f>
        <v>#REF!</v>
      </c>
    </row>
    <row r="88">
      <c r="A88" s="3" t="s">
        <v>124</v>
      </c>
      <c r="C88" s="3" t="s">
        <v>19</v>
      </c>
      <c r="D88" s="3" t="s">
        <v>20</v>
      </c>
      <c r="E88" s="3" t="s">
        <v>121</v>
      </c>
      <c r="F88" s="4">
        <v>3.0</v>
      </c>
      <c r="G88" s="4">
        <v>3.0</v>
      </c>
      <c r="H88" s="5">
        <v>15870.929999999997</v>
      </c>
      <c r="I88" s="6">
        <v>88.0</v>
      </c>
      <c r="J88" s="6">
        <v>37.0</v>
      </c>
      <c r="K88" s="7">
        <v>0.29365079365079366</v>
      </c>
      <c r="L88" s="6">
        <v>111.0</v>
      </c>
      <c r="M88" s="6">
        <v>108.0</v>
      </c>
      <c r="N88" s="7">
        <v>0.972972972972973</v>
      </c>
      <c r="O88" s="8">
        <v>0.23706250714449018</v>
      </c>
      <c r="P88" s="3">
        <v>10.0</v>
      </c>
      <c r="Q88" s="7">
        <v>0.3783783783783784</v>
      </c>
      <c r="R88" s="9" t="str">
        <f>IFERROR(__xludf.DUMMYFUNCTION("FILTER('Extração 1'!C:C, 'Extração 1'!A:A = A88, 'Extração 1'!B:B = ""boarding"")"),"#REF!")</f>
        <v>#REF!</v>
      </c>
    </row>
    <row r="89">
      <c r="A89" s="3" t="s">
        <v>125</v>
      </c>
      <c r="C89" s="3" t="s">
        <v>19</v>
      </c>
      <c r="D89" s="3" t="s">
        <v>20</v>
      </c>
      <c r="E89" s="3" t="s">
        <v>121</v>
      </c>
      <c r="F89" s="4">
        <v>2.0</v>
      </c>
      <c r="G89" s="4">
        <v>2.0</v>
      </c>
      <c r="H89" s="5">
        <v>881.4</v>
      </c>
      <c r="I89" s="6">
        <v>15.0</v>
      </c>
      <c r="J89" s="6">
        <v>2.0</v>
      </c>
      <c r="K89" s="7">
        <v>0.11764705882352941</v>
      </c>
      <c r="L89" s="6">
        <v>14.0</v>
      </c>
      <c r="M89" s="6">
        <v>14.0</v>
      </c>
      <c r="N89" s="7">
        <v>1.0</v>
      </c>
      <c r="O89" s="8">
        <v>1.641390415140415</v>
      </c>
      <c r="P89" s="3">
        <v>10.0</v>
      </c>
      <c r="Q89" s="7">
        <v>1.0</v>
      </c>
      <c r="R89" s="9" t="str">
        <f>IFERROR(__xludf.DUMMYFUNCTION("FILTER('Extração 1'!C:C, 'Extração 1'!A:A = A89, 'Extração 1'!B:B = ""boarding"")"),"#REF!")</f>
        <v>#REF!</v>
      </c>
    </row>
    <row r="90">
      <c r="A90" s="3" t="s">
        <v>126</v>
      </c>
      <c r="C90" s="3" t="s">
        <v>19</v>
      </c>
      <c r="D90" s="3" t="s">
        <v>20</v>
      </c>
      <c r="E90" s="3" t="s">
        <v>127</v>
      </c>
      <c r="F90" s="4">
        <v>2.0</v>
      </c>
      <c r="G90" s="4">
        <v>2.0</v>
      </c>
      <c r="H90" s="5">
        <v>0.0</v>
      </c>
      <c r="I90" s="6">
        <v>2.0</v>
      </c>
      <c r="J90" s="6">
        <v>1.0</v>
      </c>
      <c r="K90" s="7">
        <v>0.25</v>
      </c>
      <c r="L90" s="6">
        <v>0.0</v>
      </c>
      <c r="M90" s="6">
        <v>0.0</v>
      </c>
      <c r="N90" s="7"/>
      <c r="O90" s="8"/>
      <c r="P90" s="3">
        <v>10.0</v>
      </c>
      <c r="Q90" s="7">
        <v>1.0</v>
      </c>
      <c r="R90" s="9" t="str">
        <f>IFERROR(__xludf.DUMMYFUNCTION("FILTER('Extração 1'!C:C, 'Extração 1'!A:A = A90, 'Extração 1'!B:B = ""boarding"")"),"#REF!")</f>
        <v>#REF!</v>
      </c>
    </row>
    <row r="91">
      <c r="A91" s="3" t="s">
        <v>128</v>
      </c>
      <c r="C91" s="3" t="s">
        <v>19</v>
      </c>
      <c r="D91" s="3" t="s">
        <v>20</v>
      </c>
      <c r="E91" s="3" t="s">
        <v>127</v>
      </c>
      <c r="F91" s="4">
        <v>7.0</v>
      </c>
      <c r="G91" s="4">
        <v>7.0</v>
      </c>
      <c r="H91" s="5">
        <v>24432.190000000002</v>
      </c>
      <c r="I91" s="6">
        <v>261.0</v>
      </c>
      <c r="J91" s="6">
        <v>80.0</v>
      </c>
      <c r="K91" s="7">
        <v>0.26936026936026936</v>
      </c>
      <c r="L91" s="6">
        <v>255.0</v>
      </c>
      <c r="M91" s="6">
        <v>254.0</v>
      </c>
      <c r="N91" s="7">
        <v>0.996078431372549</v>
      </c>
      <c r="O91" s="8">
        <v>0.1527419072615923</v>
      </c>
      <c r="P91" s="3">
        <v>10.0</v>
      </c>
      <c r="Q91" s="7">
        <v>0.2808988764044944</v>
      </c>
      <c r="R91" s="9" t="str">
        <f>IFERROR(__xludf.DUMMYFUNCTION("FILTER('Extração 1'!C:C, 'Extração 1'!A:A = A91, 'Extração 1'!B:B = ""boarding"")"),"#REF!")</f>
        <v>#REF!</v>
      </c>
    </row>
    <row r="92">
      <c r="A92" s="3" t="s">
        <v>129</v>
      </c>
      <c r="C92" s="3" t="s">
        <v>19</v>
      </c>
      <c r="D92" s="3" t="s">
        <v>20</v>
      </c>
      <c r="E92" s="3" t="s">
        <v>127</v>
      </c>
      <c r="F92" s="4">
        <v>5.0</v>
      </c>
      <c r="G92" s="4">
        <v>5.0</v>
      </c>
      <c r="H92" s="5">
        <v>3753.3399999999997</v>
      </c>
      <c r="I92" s="6">
        <v>30.0</v>
      </c>
      <c r="J92" s="6">
        <v>7.0</v>
      </c>
      <c r="K92" s="7">
        <v>0.21212121212121213</v>
      </c>
      <c r="L92" s="6">
        <v>29.0</v>
      </c>
      <c r="M92" s="6">
        <v>29.0</v>
      </c>
      <c r="N92" s="7">
        <v>1.0</v>
      </c>
      <c r="O92" s="8">
        <v>0.033257854406130265</v>
      </c>
      <c r="P92" s="3">
        <v>10.0</v>
      </c>
      <c r="Q92" s="7">
        <v>0.2857142857142857</v>
      </c>
      <c r="R92" s="9" t="str">
        <f>IFERROR(__xludf.DUMMYFUNCTION("FILTER('Extração 1'!C:C, 'Extração 1'!A:A = A92, 'Extração 1'!B:B = ""boarding"")"),"#REF!")</f>
        <v>#REF!</v>
      </c>
    </row>
    <row r="93">
      <c r="A93" s="3" t="s">
        <v>130</v>
      </c>
      <c r="C93" s="3" t="s">
        <v>19</v>
      </c>
      <c r="D93" s="3" t="s">
        <v>20</v>
      </c>
      <c r="E93" s="3" t="s">
        <v>127</v>
      </c>
      <c r="F93" s="4">
        <v>8.0</v>
      </c>
      <c r="G93" s="4">
        <v>8.0</v>
      </c>
      <c r="H93" s="5">
        <v>6588.780000000001</v>
      </c>
      <c r="I93" s="6">
        <v>210.0</v>
      </c>
      <c r="J93" s="6">
        <v>20.0</v>
      </c>
      <c r="K93" s="7">
        <v>0.08333333333333333</v>
      </c>
      <c r="L93" s="6">
        <v>206.0</v>
      </c>
      <c r="M93" s="6">
        <v>132.0</v>
      </c>
      <c r="N93" s="7">
        <v>0.6407766990291263</v>
      </c>
      <c r="O93" s="8">
        <v>1.0584750996358139</v>
      </c>
      <c r="P93" s="3">
        <v>10.0</v>
      </c>
      <c r="Q93" s="7">
        <v>0.18181818181818182</v>
      </c>
      <c r="R93" s="9" t="str">
        <f>IFERROR(__xludf.DUMMYFUNCTION("FILTER('Extração 1'!C:C, 'Extração 1'!A:A = A93, 'Extração 1'!B:B = ""boarding"")"),"#REF!")</f>
        <v>#REF!</v>
      </c>
    </row>
    <row r="94">
      <c r="A94" s="3" t="s">
        <v>131</v>
      </c>
      <c r="C94" s="3" t="s">
        <v>19</v>
      </c>
      <c r="D94" s="3" t="s">
        <v>20</v>
      </c>
      <c r="E94" s="3" t="s">
        <v>127</v>
      </c>
      <c r="F94" s="4"/>
      <c r="G94" s="4"/>
      <c r="H94" s="5">
        <v>0.0</v>
      </c>
      <c r="I94" s="6">
        <v>8.0</v>
      </c>
      <c r="J94" s="6">
        <v>0.0</v>
      </c>
      <c r="K94" s="7">
        <v>0.0</v>
      </c>
      <c r="L94" s="6">
        <v>9.0</v>
      </c>
      <c r="M94" s="6">
        <v>9.0</v>
      </c>
      <c r="N94" s="7">
        <v>1.0</v>
      </c>
      <c r="O94" s="8">
        <v>0.3345267489711934</v>
      </c>
      <c r="Q94" s="7"/>
      <c r="R94" s="2">
        <v>70.0</v>
      </c>
    </row>
    <row r="95">
      <c r="A95" s="3" t="s">
        <v>132</v>
      </c>
      <c r="C95" s="3" t="s">
        <v>19</v>
      </c>
      <c r="D95" s="3" t="s">
        <v>20</v>
      </c>
      <c r="E95" s="3" t="s">
        <v>127</v>
      </c>
      <c r="F95" s="4">
        <v>4.0</v>
      </c>
      <c r="G95" s="4">
        <v>4.0</v>
      </c>
      <c r="H95" s="5">
        <v>198.01</v>
      </c>
      <c r="I95" s="6">
        <v>13.0</v>
      </c>
      <c r="J95" s="6">
        <v>1.0</v>
      </c>
      <c r="K95" s="7">
        <v>0.06666666666666667</v>
      </c>
      <c r="L95" s="6">
        <v>16.0</v>
      </c>
      <c r="M95" s="6">
        <v>11.0</v>
      </c>
      <c r="N95" s="7">
        <v>0.6875</v>
      </c>
      <c r="O95" s="8">
        <v>6.088103535353535</v>
      </c>
      <c r="P95" s="3">
        <v>10.0</v>
      </c>
      <c r="Q95" s="7">
        <v>1.0</v>
      </c>
      <c r="R95" s="9" t="str">
        <f>IFERROR(__xludf.DUMMYFUNCTION("FILTER('Extração 1'!C:C, 'Extração 1'!A:A = A95, 'Extração 1'!B:B = ""boarding"")"),"#REF!")</f>
        <v>#REF!</v>
      </c>
    </row>
    <row r="96">
      <c r="A96" s="3" t="s">
        <v>133</v>
      </c>
      <c r="C96" s="3" t="s">
        <v>19</v>
      </c>
      <c r="D96" s="3" t="s">
        <v>20</v>
      </c>
      <c r="E96" s="3" t="s">
        <v>127</v>
      </c>
      <c r="F96" s="4">
        <v>4.0</v>
      </c>
      <c r="G96" s="4">
        <v>4.0</v>
      </c>
      <c r="H96" s="5">
        <v>29803.780000000002</v>
      </c>
      <c r="I96" s="6">
        <v>81.0</v>
      </c>
      <c r="J96" s="6">
        <v>51.0</v>
      </c>
      <c r="K96" s="7">
        <v>0.53125</v>
      </c>
      <c r="L96" s="6">
        <v>89.0</v>
      </c>
      <c r="M96" s="6">
        <v>87.0</v>
      </c>
      <c r="N96" s="7">
        <v>0.9775280898876404</v>
      </c>
      <c r="O96" s="8">
        <v>0.03242687928336301</v>
      </c>
      <c r="P96" s="3">
        <v>9.8</v>
      </c>
      <c r="Q96" s="7">
        <v>0.19230769230769232</v>
      </c>
      <c r="R96" s="9" t="str">
        <f>IFERROR(__xludf.DUMMYFUNCTION("FILTER('Extração 1'!C:C, 'Extração 1'!A:A = A96, 'Extração 1'!B:B = ""boarding"")"),"#REF!")</f>
        <v>#REF!</v>
      </c>
    </row>
    <row r="97">
      <c r="A97" s="3" t="s">
        <v>134</v>
      </c>
      <c r="C97" s="3" t="s">
        <v>19</v>
      </c>
      <c r="D97" s="3" t="s">
        <v>20</v>
      </c>
      <c r="E97" s="3" t="s">
        <v>127</v>
      </c>
      <c r="F97" s="4">
        <v>10.0</v>
      </c>
      <c r="G97" s="4">
        <v>10.0</v>
      </c>
      <c r="H97" s="5">
        <v>3927.99</v>
      </c>
      <c r="I97" s="6">
        <v>49.0</v>
      </c>
      <c r="J97" s="6">
        <v>13.0</v>
      </c>
      <c r="K97" s="7">
        <v>0.23214285714285715</v>
      </c>
      <c r="L97" s="6">
        <v>53.0</v>
      </c>
      <c r="M97" s="6">
        <v>53.0</v>
      </c>
      <c r="N97" s="7">
        <v>1.0</v>
      </c>
      <c r="O97" s="8">
        <v>0.06551139937106919</v>
      </c>
      <c r="P97" s="3">
        <v>10.0</v>
      </c>
      <c r="Q97" s="7">
        <v>0.23076923076923078</v>
      </c>
      <c r="R97" s="9" t="str">
        <f>IFERROR(__xludf.DUMMYFUNCTION("FILTER('Extração 1'!C:C, 'Extração 1'!A:A = A97, 'Extração 1'!B:B = ""boarding"")"),"#REF!")</f>
        <v>#REF!</v>
      </c>
    </row>
    <row r="98">
      <c r="A98" s="3" t="s">
        <v>135</v>
      </c>
      <c r="C98" s="3" t="s">
        <v>19</v>
      </c>
      <c r="D98" s="3" t="s">
        <v>20</v>
      </c>
      <c r="E98" s="3" t="s">
        <v>136</v>
      </c>
      <c r="F98" s="4">
        <v>6.0</v>
      </c>
      <c r="G98" s="4">
        <v>6.0</v>
      </c>
      <c r="H98" s="5">
        <v>22013.0</v>
      </c>
      <c r="I98" s="6">
        <v>240.0</v>
      </c>
      <c r="J98" s="6">
        <v>50.0</v>
      </c>
      <c r="K98" s="7">
        <v>0.17985611510791366</v>
      </c>
      <c r="L98" s="6">
        <v>264.0</v>
      </c>
      <c r="M98" s="6">
        <v>258.0</v>
      </c>
      <c r="N98" s="7">
        <v>0.9772727272727273</v>
      </c>
      <c r="O98" s="8">
        <v>0.28022043156988075</v>
      </c>
      <c r="P98" s="3">
        <v>9.833333333333334</v>
      </c>
      <c r="Q98" s="7">
        <v>0.24</v>
      </c>
      <c r="R98" s="9" t="str">
        <f>IFERROR(__xludf.DUMMYFUNCTION("FILTER('Extração 1'!C:C, 'Extração 1'!A:A = A98, 'Extração 1'!B:B = ""boarding"")"),"#REF!")</f>
        <v>#REF!</v>
      </c>
    </row>
    <row r="99">
      <c r="A99" s="3" t="s">
        <v>137</v>
      </c>
      <c r="C99" s="3" t="s">
        <v>19</v>
      </c>
      <c r="D99" s="3" t="s">
        <v>20</v>
      </c>
      <c r="E99" s="3" t="s">
        <v>136</v>
      </c>
      <c r="F99" s="4">
        <v>2.0</v>
      </c>
      <c r="G99" s="4">
        <v>2.0</v>
      </c>
      <c r="H99" s="5">
        <v>8701.850000000002</v>
      </c>
      <c r="I99" s="6">
        <v>117.0</v>
      </c>
      <c r="J99" s="6">
        <v>20.0</v>
      </c>
      <c r="K99" s="7">
        <v>0.14814814814814814</v>
      </c>
      <c r="L99" s="6">
        <v>132.0</v>
      </c>
      <c r="M99" s="6">
        <v>121.0</v>
      </c>
      <c r="N99" s="7">
        <v>0.9166666666666666</v>
      </c>
      <c r="O99" s="8">
        <v>0.400907943067034</v>
      </c>
      <c r="P99" s="3">
        <v>11.285714285714286</v>
      </c>
      <c r="Q99" s="7">
        <v>0.35</v>
      </c>
      <c r="R99" s="9" t="str">
        <f>IFERROR(__xludf.DUMMYFUNCTION("FILTER('Extração 1'!C:C, 'Extração 1'!A:A = A99, 'Extração 1'!B:B = ""boarding"")"),"#REF!")</f>
        <v>#REF!</v>
      </c>
    </row>
    <row r="100">
      <c r="A100" s="3" t="s">
        <v>138</v>
      </c>
      <c r="C100" s="3" t="s">
        <v>19</v>
      </c>
      <c r="D100" s="3" t="s">
        <v>20</v>
      </c>
      <c r="E100" s="3" t="s">
        <v>136</v>
      </c>
      <c r="F100" s="4">
        <v>10.0</v>
      </c>
      <c r="G100" s="4">
        <v>10.0</v>
      </c>
      <c r="H100" s="5">
        <v>40037.409900000006</v>
      </c>
      <c r="I100" s="6">
        <v>70.0</v>
      </c>
      <c r="J100" s="6">
        <v>52.0</v>
      </c>
      <c r="K100" s="7">
        <v>0.5531914893617021</v>
      </c>
      <c r="L100" s="6">
        <v>91.0</v>
      </c>
      <c r="M100" s="6">
        <v>83.0</v>
      </c>
      <c r="N100" s="7">
        <v>0.9120879120879121</v>
      </c>
      <c r="O100" s="8">
        <v>0.3483397693337452</v>
      </c>
      <c r="P100" s="3">
        <v>9.75</v>
      </c>
      <c r="Q100" s="7">
        <v>0.07547169811320754</v>
      </c>
      <c r="R100" s="9" t="str">
        <f>IFERROR(__xludf.DUMMYFUNCTION("FILTER('Extração 1'!C:C, 'Extração 1'!A:A = A100, 'Extração 1'!B:B = ""boarding"")"),"#REF!")</f>
        <v>#REF!</v>
      </c>
    </row>
    <row r="101">
      <c r="A101" s="3" t="s">
        <v>139</v>
      </c>
      <c r="C101" s="3" t="s">
        <v>19</v>
      </c>
      <c r="D101" s="3" t="s">
        <v>20</v>
      </c>
      <c r="E101" s="3" t="s">
        <v>140</v>
      </c>
      <c r="F101" s="4">
        <v>10.0</v>
      </c>
      <c r="G101" s="4">
        <v>10.0</v>
      </c>
      <c r="H101" s="5">
        <v>23961.16009999999</v>
      </c>
      <c r="I101" s="6">
        <v>178.0</v>
      </c>
      <c r="J101" s="6">
        <v>76.0</v>
      </c>
      <c r="K101" s="7">
        <v>0.3377777777777778</v>
      </c>
      <c r="L101" s="6">
        <v>207.0</v>
      </c>
      <c r="M101" s="6">
        <v>204.0</v>
      </c>
      <c r="N101" s="7">
        <v>0.9855072463768116</v>
      </c>
      <c r="O101" s="8">
        <v>0.2900462118525274</v>
      </c>
      <c r="P101" s="3">
        <v>10.0</v>
      </c>
      <c r="Q101" s="7">
        <v>0.3076923076923077</v>
      </c>
      <c r="R101" s="9" t="str">
        <f>IFERROR(__xludf.DUMMYFUNCTION("FILTER('Extração 1'!C:C, 'Extração 1'!A:A = A101, 'Extração 1'!B:B = ""boarding"")"),"#REF!")</f>
        <v>#REF!</v>
      </c>
    </row>
    <row r="102">
      <c r="A102" s="3" t="s">
        <v>141</v>
      </c>
      <c r="C102" s="3" t="s">
        <v>19</v>
      </c>
      <c r="D102" s="3" t="s">
        <v>20</v>
      </c>
      <c r="E102" s="3" t="s">
        <v>140</v>
      </c>
      <c r="F102" s="4">
        <v>10.0</v>
      </c>
      <c r="G102" s="4">
        <v>10.0</v>
      </c>
      <c r="H102" s="5">
        <v>29020.860200000014</v>
      </c>
      <c r="I102" s="6">
        <v>244.0</v>
      </c>
      <c r="J102" s="6">
        <v>76.0</v>
      </c>
      <c r="K102" s="7">
        <v>0.2331288343558282</v>
      </c>
      <c r="L102" s="6">
        <v>296.0</v>
      </c>
      <c r="M102" s="6">
        <v>282.0</v>
      </c>
      <c r="N102" s="7">
        <v>0.9527027027027027</v>
      </c>
      <c r="O102" s="8">
        <v>0.814158970462162</v>
      </c>
      <c r="P102" s="3">
        <v>9.833333333333334</v>
      </c>
      <c r="Q102" s="7">
        <v>0.3157894736842105</v>
      </c>
      <c r="R102" s="9" t="str">
        <f>IFERROR(__xludf.DUMMYFUNCTION("FILTER('Extração 1'!C:C, 'Extração 1'!A:A = A102, 'Extração 1'!B:B = ""boarding"")"),"#REF!")</f>
        <v>#REF!</v>
      </c>
    </row>
    <row r="103">
      <c r="A103" s="3" t="s">
        <v>142</v>
      </c>
      <c r="C103" s="3" t="s">
        <v>19</v>
      </c>
      <c r="D103" s="3" t="s">
        <v>20</v>
      </c>
      <c r="E103" s="3" t="s">
        <v>143</v>
      </c>
      <c r="F103" s="4">
        <v>3.0</v>
      </c>
      <c r="G103" s="4">
        <v>3.0</v>
      </c>
      <c r="H103" s="5">
        <v>469.08000000000004</v>
      </c>
      <c r="I103" s="6">
        <v>30.0</v>
      </c>
      <c r="J103" s="6">
        <v>3.0</v>
      </c>
      <c r="K103" s="7">
        <v>0.0967741935483871</v>
      </c>
      <c r="L103" s="6">
        <v>29.0</v>
      </c>
      <c r="M103" s="6">
        <v>18.0</v>
      </c>
      <c r="N103" s="7">
        <v>0.6206896551724138</v>
      </c>
      <c r="O103" s="8">
        <v>3.4729938271604937</v>
      </c>
      <c r="P103" s="3">
        <v>10.0</v>
      </c>
      <c r="Q103" s="7">
        <v>0.3333333333333333</v>
      </c>
      <c r="R103" s="9" t="str">
        <f>IFERROR(__xludf.DUMMYFUNCTION("FILTER('Extração 1'!C:C, 'Extração 1'!A:A = A103, 'Extração 1'!B:B = ""boarding"")"),"#REF!")</f>
        <v>#REF!</v>
      </c>
    </row>
    <row r="104">
      <c r="A104" s="3" t="s">
        <v>144</v>
      </c>
      <c r="B104" s="3" t="s">
        <v>55</v>
      </c>
      <c r="C104" s="3" t="s">
        <v>19</v>
      </c>
      <c r="D104" s="3" t="s">
        <v>20</v>
      </c>
      <c r="E104" s="3" t="s">
        <v>143</v>
      </c>
      <c r="F104" s="4">
        <v>20.0</v>
      </c>
      <c r="G104" s="4">
        <v>20.0</v>
      </c>
      <c r="H104" s="5">
        <v>74506.53999999996</v>
      </c>
      <c r="I104" s="6">
        <v>790.0</v>
      </c>
      <c r="J104" s="6">
        <v>248.0</v>
      </c>
      <c r="K104" s="7">
        <v>0.2530612244897959</v>
      </c>
      <c r="L104" s="6">
        <v>904.0</v>
      </c>
      <c r="M104" s="6">
        <v>880.0</v>
      </c>
      <c r="N104" s="7">
        <v>0.9734513274336283</v>
      </c>
      <c r="O104" s="8">
        <v>0.033694561542847834</v>
      </c>
      <c r="P104" s="3">
        <v>9.833333333333334</v>
      </c>
      <c r="Q104" s="7">
        <v>0.24193548387096775</v>
      </c>
      <c r="R104" s="9" t="str">
        <f>IFERROR(__xludf.DUMMYFUNCTION("FILTER('Extração 1'!C:C, 'Extração 1'!A:A = A104, 'Extração 1'!B:B = ""boarding"")"),"#REF!")</f>
        <v>#REF!</v>
      </c>
    </row>
    <row r="105">
      <c r="A105" s="3" t="s">
        <v>145</v>
      </c>
      <c r="C105" s="3" t="s">
        <v>19</v>
      </c>
      <c r="D105" s="3" t="s">
        <v>20</v>
      </c>
      <c r="E105" s="3" t="s">
        <v>143</v>
      </c>
      <c r="F105" s="4">
        <v>2.0</v>
      </c>
      <c r="G105" s="4">
        <v>2.0</v>
      </c>
      <c r="H105" s="5">
        <v>319.20000000000005</v>
      </c>
      <c r="I105" s="6">
        <v>14.0</v>
      </c>
      <c r="J105" s="6">
        <v>3.0</v>
      </c>
      <c r="K105" s="7">
        <v>0.21428571428571427</v>
      </c>
      <c r="L105" s="6">
        <v>13.0</v>
      </c>
      <c r="M105" s="6">
        <v>13.0</v>
      </c>
      <c r="N105" s="7">
        <v>1.0</v>
      </c>
      <c r="O105" s="8">
        <v>0.2040135327635328</v>
      </c>
      <c r="P105" s="3">
        <v>10.0</v>
      </c>
      <c r="Q105" s="7">
        <v>0.6666666666666666</v>
      </c>
      <c r="R105" s="2">
        <v>80.0</v>
      </c>
    </row>
    <row r="106">
      <c r="A106" s="3" t="s">
        <v>146</v>
      </c>
      <c r="C106" s="3" t="s">
        <v>19</v>
      </c>
      <c r="D106" s="3" t="s">
        <v>20</v>
      </c>
      <c r="E106" s="3" t="s">
        <v>143</v>
      </c>
      <c r="F106" s="4">
        <v>7.0</v>
      </c>
      <c r="G106" s="4">
        <v>7.0</v>
      </c>
      <c r="H106" s="5">
        <v>28287.649900000004</v>
      </c>
      <c r="I106" s="6">
        <v>89.0</v>
      </c>
      <c r="J106" s="6">
        <v>46.0</v>
      </c>
      <c r="K106" s="7">
        <v>0.42201834862385323</v>
      </c>
      <c r="L106" s="6">
        <v>101.0</v>
      </c>
      <c r="M106" s="6">
        <v>99.0</v>
      </c>
      <c r="N106" s="7">
        <v>0.9801980198019802</v>
      </c>
      <c r="O106" s="8">
        <v>0.07585978835978836</v>
      </c>
      <c r="P106" s="3">
        <v>10.0</v>
      </c>
      <c r="Q106" s="7">
        <v>0.21739130434782608</v>
      </c>
      <c r="R106" s="9" t="str">
        <f>IFERROR(__xludf.DUMMYFUNCTION("FILTER('Extração 1'!C:C, 'Extração 1'!A:A = A106, 'Extração 1'!B:B = ""boarding"")"),"#REF!")</f>
        <v>#REF!</v>
      </c>
    </row>
    <row r="107">
      <c r="A107" s="3" t="s">
        <v>147</v>
      </c>
      <c r="C107" s="3" t="s">
        <v>19</v>
      </c>
      <c r="D107" s="3" t="s">
        <v>20</v>
      </c>
      <c r="E107" s="3" t="s">
        <v>143</v>
      </c>
      <c r="F107" s="4">
        <v>14.0</v>
      </c>
      <c r="G107" s="4">
        <v>14.0</v>
      </c>
      <c r="H107" s="5">
        <v>4036.48</v>
      </c>
      <c r="I107" s="6">
        <v>108.0</v>
      </c>
      <c r="J107" s="6">
        <v>8.0</v>
      </c>
      <c r="K107" s="7">
        <v>0.06779661016949153</v>
      </c>
      <c r="L107" s="6">
        <v>102.0</v>
      </c>
      <c r="M107" s="6">
        <v>102.0</v>
      </c>
      <c r="N107" s="7">
        <v>1.0</v>
      </c>
      <c r="O107" s="8">
        <v>0.06363737593802954</v>
      </c>
      <c r="P107" s="3">
        <v>10.0</v>
      </c>
      <c r="Q107" s="7">
        <v>0.2857142857142857</v>
      </c>
      <c r="R107" s="9" t="str">
        <f>IFERROR(__xludf.DUMMYFUNCTION("FILTER('Extração 1'!C:C, 'Extração 1'!A:A = A107, 'Extração 1'!B:B = ""boarding"")"),"#REF!")</f>
        <v>#REF!</v>
      </c>
    </row>
    <row r="108">
      <c r="A108" s="3" t="s">
        <v>148</v>
      </c>
      <c r="C108" s="3" t="s">
        <v>19</v>
      </c>
      <c r="D108" s="3" t="s">
        <v>20</v>
      </c>
      <c r="E108" s="3" t="s">
        <v>143</v>
      </c>
      <c r="F108" s="4">
        <v>2.0</v>
      </c>
      <c r="G108" s="4">
        <v>2.0</v>
      </c>
      <c r="H108" s="5">
        <v>6490.85</v>
      </c>
      <c r="I108" s="6">
        <v>52.0</v>
      </c>
      <c r="J108" s="6">
        <v>13.0</v>
      </c>
      <c r="K108" s="7">
        <v>0.22807017543859648</v>
      </c>
      <c r="L108" s="6">
        <v>56.0</v>
      </c>
      <c r="M108" s="6">
        <v>54.0</v>
      </c>
      <c r="N108" s="7">
        <v>0.9642857142857143</v>
      </c>
      <c r="O108" s="8">
        <v>1.8557554869684498</v>
      </c>
      <c r="P108" s="3">
        <v>10.0</v>
      </c>
      <c r="Q108" s="7">
        <v>0.3076923076923077</v>
      </c>
      <c r="R108" s="9" t="str">
        <f>IFERROR(__xludf.DUMMYFUNCTION("FILTER('Extração 1'!C:C, 'Extração 1'!A:A = A108, 'Extração 1'!B:B = ""boarding"")"),"#REF!")</f>
        <v>#REF!</v>
      </c>
    </row>
    <row r="109">
      <c r="A109" s="3" t="s">
        <v>149</v>
      </c>
      <c r="C109" s="3" t="s">
        <v>19</v>
      </c>
      <c r="D109" s="3" t="s">
        <v>20</v>
      </c>
      <c r="E109" s="3" t="s">
        <v>150</v>
      </c>
      <c r="F109" s="4">
        <v>1.0</v>
      </c>
      <c r="G109" s="4">
        <v>1.0</v>
      </c>
      <c r="H109" s="5">
        <v>1064.0</v>
      </c>
      <c r="I109" s="6">
        <v>37.0</v>
      </c>
      <c r="J109" s="6">
        <v>2.0</v>
      </c>
      <c r="K109" s="7">
        <v>0.05263157894736842</v>
      </c>
      <c r="L109" s="6">
        <v>35.0</v>
      </c>
      <c r="M109" s="6">
        <v>30.0</v>
      </c>
      <c r="N109" s="7">
        <v>0.8571428571428571</v>
      </c>
      <c r="O109" s="8">
        <v>0.24907086894586897</v>
      </c>
      <c r="P109" s="3">
        <v>10.0</v>
      </c>
      <c r="Q109" s="7">
        <v>0.5</v>
      </c>
      <c r="R109" s="9" t="str">
        <f>IFERROR(__xludf.DUMMYFUNCTION("FILTER('Extração 1'!C:C, 'Extração 1'!A:A = A109, 'Extração 1'!B:B = ""boarding"")"),"#REF!")</f>
        <v>#REF!</v>
      </c>
    </row>
    <row r="110">
      <c r="A110" s="3" t="s">
        <v>151</v>
      </c>
      <c r="C110" s="3" t="s">
        <v>19</v>
      </c>
      <c r="D110" s="3" t="s">
        <v>20</v>
      </c>
      <c r="E110" s="3" t="s">
        <v>150</v>
      </c>
      <c r="F110" s="4">
        <v>1.0</v>
      </c>
      <c r="G110" s="4">
        <v>1.0</v>
      </c>
      <c r="H110" s="5">
        <v>2482.56</v>
      </c>
      <c r="I110" s="6">
        <v>28.0</v>
      </c>
      <c r="J110" s="6">
        <v>10.0</v>
      </c>
      <c r="K110" s="7">
        <v>0.2702702702702703</v>
      </c>
      <c r="L110" s="6">
        <v>37.0</v>
      </c>
      <c r="M110" s="6">
        <v>37.0</v>
      </c>
      <c r="N110" s="7">
        <v>1.0</v>
      </c>
      <c r="O110" s="8">
        <v>0.3582724966345656</v>
      </c>
      <c r="P110" s="3">
        <v>10.0</v>
      </c>
      <c r="Q110" s="7">
        <v>0.3</v>
      </c>
      <c r="R110" s="9" t="str">
        <f>IFERROR(__xludf.DUMMYFUNCTION("FILTER('Extração 1'!C:C, 'Extração 1'!A:A = A110, 'Extração 1'!B:B = ""boarding"")"),"#REF!")</f>
        <v>#REF!</v>
      </c>
    </row>
    <row r="111">
      <c r="A111" s="3" t="s">
        <v>152</v>
      </c>
      <c r="C111" s="3" t="s">
        <v>19</v>
      </c>
      <c r="D111" s="3" t="s">
        <v>20</v>
      </c>
      <c r="E111" s="3" t="s">
        <v>150</v>
      </c>
      <c r="F111" s="4">
        <v>2.0</v>
      </c>
      <c r="G111" s="4">
        <v>2.0</v>
      </c>
      <c r="H111" s="5">
        <v>1475.0</v>
      </c>
      <c r="I111" s="6">
        <v>30.0</v>
      </c>
      <c r="J111" s="6">
        <v>1.0</v>
      </c>
      <c r="K111" s="7">
        <v>0.021739130434782608</v>
      </c>
      <c r="L111" s="6">
        <v>44.0</v>
      </c>
      <c r="M111" s="6">
        <v>40.0</v>
      </c>
      <c r="N111" s="7">
        <v>0.9090909090909091</v>
      </c>
      <c r="O111" s="8">
        <v>0.4260316358024691</v>
      </c>
      <c r="P111" s="3">
        <v>10.0</v>
      </c>
      <c r="Q111" s="7">
        <v>1.0</v>
      </c>
      <c r="R111" s="9" t="str">
        <f>IFERROR(__xludf.DUMMYFUNCTION("FILTER('Extração 1'!C:C, 'Extração 1'!A:A = A111, 'Extração 1'!B:B = ""boarding"")"),"#REF!")</f>
        <v>#REF!</v>
      </c>
    </row>
    <row r="112">
      <c r="A112" s="3" t="s">
        <v>153</v>
      </c>
      <c r="C112" s="3" t="s">
        <v>19</v>
      </c>
      <c r="D112" s="3" t="s">
        <v>20</v>
      </c>
      <c r="E112" s="3" t="s">
        <v>150</v>
      </c>
      <c r="F112" s="4">
        <v>1.0</v>
      </c>
      <c r="G112" s="4">
        <v>1.0</v>
      </c>
      <c r="H112" s="5">
        <v>903.4200000000001</v>
      </c>
      <c r="I112" s="6">
        <v>17.0</v>
      </c>
      <c r="J112" s="6">
        <v>2.0</v>
      </c>
      <c r="K112" s="7">
        <v>0.09523809523809523</v>
      </c>
      <c r="L112" s="6">
        <v>17.0</v>
      </c>
      <c r="M112" s="6">
        <v>16.0</v>
      </c>
      <c r="N112" s="7">
        <v>0.9411764705882353</v>
      </c>
      <c r="O112" s="8">
        <v>0.35688310185185185</v>
      </c>
      <c r="Q112" s="7">
        <v>0.0</v>
      </c>
      <c r="R112" s="9" t="str">
        <f>IFERROR(__xludf.DUMMYFUNCTION("FILTER('Extração 1'!C:C, 'Extração 1'!A:A = A112, 'Extração 1'!B:B = ""boarding"")"),"#REF!")</f>
        <v>#REF!</v>
      </c>
    </row>
    <row r="113">
      <c r="A113" s="3" t="s">
        <v>154</v>
      </c>
      <c r="C113" s="3" t="s">
        <v>19</v>
      </c>
      <c r="D113" s="3" t="s">
        <v>20</v>
      </c>
      <c r="E113" s="3" t="s">
        <v>150</v>
      </c>
      <c r="F113" s="4">
        <v>2.0</v>
      </c>
      <c r="G113" s="4">
        <v>2.0</v>
      </c>
      <c r="H113" s="5">
        <v>6603.3099999999995</v>
      </c>
      <c r="I113" s="6">
        <v>78.0</v>
      </c>
      <c r="J113" s="6">
        <v>16.0</v>
      </c>
      <c r="K113" s="7">
        <v>0.16842105263157894</v>
      </c>
      <c r="L113" s="6">
        <v>94.0</v>
      </c>
      <c r="M113" s="6">
        <v>93.0</v>
      </c>
      <c r="N113" s="7">
        <v>0.9893617021276596</v>
      </c>
      <c r="O113" s="8">
        <v>0.13113686734888233</v>
      </c>
      <c r="P113" s="3">
        <v>10.0</v>
      </c>
      <c r="Q113" s="7">
        <v>0.35294117647058826</v>
      </c>
      <c r="R113" s="9" t="str">
        <f>IFERROR(__xludf.DUMMYFUNCTION("FILTER('Extração 1'!C:C, 'Extração 1'!A:A = A113, 'Extração 1'!B:B = ""boarding"")"),"#REF!")</f>
        <v>#REF!</v>
      </c>
    </row>
    <row r="114">
      <c r="A114" s="3" t="s">
        <v>155</v>
      </c>
      <c r="C114" s="3" t="s">
        <v>19</v>
      </c>
      <c r="D114" s="3" t="s">
        <v>20</v>
      </c>
      <c r="E114" s="3" t="s">
        <v>150</v>
      </c>
      <c r="F114" s="4">
        <v>2.0</v>
      </c>
      <c r="G114" s="4">
        <v>2.0</v>
      </c>
      <c r="H114" s="5">
        <v>999.6</v>
      </c>
      <c r="I114" s="6">
        <v>9.0</v>
      </c>
      <c r="J114" s="6">
        <v>1.0</v>
      </c>
      <c r="K114" s="7">
        <v>0.1111111111111111</v>
      </c>
      <c r="L114" s="6">
        <v>10.0</v>
      </c>
      <c r="M114" s="6">
        <v>8.0</v>
      </c>
      <c r="N114" s="7">
        <v>0.8</v>
      </c>
      <c r="O114" s="8">
        <v>38.91120039682539</v>
      </c>
      <c r="P114" s="3">
        <v>10.0</v>
      </c>
      <c r="Q114" s="7">
        <v>1.0</v>
      </c>
      <c r="R114" s="2">
        <v>130.0</v>
      </c>
    </row>
    <row r="115">
      <c r="A115" s="3" t="s">
        <v>156</v>
      </c>
      <c r="C115" s="3" t="s">
        <v>19</v>
      </c>
      <c r="D115" s="3" t="s">
        <v>20</v>
      </c>
      <c r="E115" s="3" t="s">
        <v>150</v>
      </c>
      <c r="F115" s="4">
        <v>12.0</v>
      </c>
      <c r="G115" s="4">
        <v>12.0</v>
      </c>
      <c r="H115" s="5">
        <v>9641.480000000003</v>
      </c>
      <c r="I115" s="6">
        <v>116.0</v>
      </c>
      <c r="J115" s="6">
        <v>20.0</v>
      </c>
      <c r="K115" s="7">
        <v>0.1282051282051282</v>
      </c>
      <c r="L115" s="6">
        <v>148.0</v>
      </c>
      <c r="M115" s="6">
        <v>136.0</v>
      </c>
      <c r="N115" s="7">
        <v>0.918918918918919</v>
      </c>
      <c r="O115" s="8">
        <v>0.24981468388637507</v>
      </c>
      <c r="P115" s="3">
        <v>10.0</v>
      </c>
      <c r="Q115" s="7">
        <v>0.4</v>
      </c>
      <c r="R115" s="9" t="str">
        <f>IFERROR(__xludf.DUMMYFUNCTION("FILTER('Extração 1'!C:C, 'Extração 1'!A:A = A115, 'Extração 1'!B:B = ""boarding"")"),"#REF!")</f>
        <v>#REF!</v>
      </c>
    </row>
    <row r="116">
      <c r="A116" s="3" t="s">
        <v>157</v>
      </c>
      <c r="C116" s="3" t="s">
        <v>19</v>
      </c>
      <c r="D116" s="3" t="s">
        <v>20</v>
      </c>
      <c r="E116" s="3" t="s">
        <v>150</v>
      </c>
      <c r="F116" s="4">
        <v>4.0</v>
      </c>
      <c r="G116" s="4">
        <v>4.0</v>
      </c>
      <c r="H116" s="5">
        <v>5520.4400000000005</v>
      </c>
      <c r="I116" s="6">
        <v>95.0</v>
      </c>
      <c r="J116" s="6">
        <v>11.0</v>
      </c>
      <c r="K116" s="7">
        <v>0.10784313725490197</v>
      </c>
      <c r="L116" s="6">
        <v>97.0</v>
      </c>
      <c r="M116" s="6">
        <v>94.0</v>
      </c>
      <c r="N116" s="7">
        <v>0.9690721649484536</v>
      </c>
      <c r="O116" s="8">
        <v>0.049015097106263276</v>
      </c>
      <c r="P116" s="3">
        <v>8.5</v>
      </c>
      <c r="Q116" s="7">
        <v>0.5</v>
      </c>
      <c r="R116" s="9" t="str">
        <f>IFERROR(__xludf.DUMMYFUNCTION("FILTER('Extração 1'!C:C, 'Extração 1'!A:A = A116, 'Extração 1'!B:B = ""boarding"")"),"#REF!")</f>
        <v>#REF!</v>
      </c>
    </row>
    <row r="117">
      <c r="A117" s="3" t="s">
        <v>158</v>
      </c>
      <c r="C117" s="3" t="s">
        <v>19</v>
      </c>
      <c r="D117" s="3" t="s">
        <v>20</v>
      </c>
      <c r="E117" s="3" t="s">
        <v>150</v>
      </c>
      <c r="F117" s="4">
        <v>2.0</v>
      </c>
      <c r="G117" s="4">
        <v>2.0</v>
      </c>
      <c r="H117" s="5">
        <v>0.0</v>
      </c>
      <c r="I117" s="6">
        <v>13.0</v>
      </c>
      <c r="J117" s="6">
        <v>0.0</v>
      </c>
      <c r="K117" s="7">
        <v>0.0</v>
      </c>
      <c r="L117" s="6">
        <v>11.0</v>
      </c>
      <c r="M117" s="6">
        <v>3.0</v>
      </c>
      <c r="N117" s="7">
        <v>0.2727272727272727</v>
      </c>
      <c r="O117" s="8">
        <v>8.414166666666667</v>
      </c>
      <c r="Q117" s="7"/>
      <c r="R117" s="9" t="str">
        <f>IFERROR(__xludf.DUMMYFUNCTION("FILTER('Extração 1'!C:C, 'Extração 1'!A:A = A117, 'Extração 1'!B:B = ""boarding"")"),"#REF!")</f>
        <v>#REF!</v>
      </c>
    </row>
    <row r="118">
      <c r="A118" s="3" t="s">
        <v>159</v>
      </c>
      <c r="C118" s="3" t="s">
        <v>19</v>
      </c>
      <c r="D118" s="3" t="s">
        <v>20</v>
      </c>
      <c r="E118" s="3" t="s">
        <v>150</v>
      </c>
      <c r="F118" s="4"/>
      <c r="G118" s="4"/>
      <c r="H118" s="5">
        <v>2410.38</v>
      </c>
      <c r="I118" s="6">
        <v>46.0</v>
      </c>
      <c r="J118" s="6">
        <v>7.0</v>
      </c>
      <c r="K118" s="7">
        <v>0.1320754716981132</v>
      </c>
      <c r="L118" s="6">
        <v>55.0</v>
      </c>
      <c r="M118" s="6">
        <v>55.0</v>
      </c>
      <c r="N118" s="7">
        <v>1.0</v>
      </c>
      <c r="O118" s="8">
        <v>0.4318813131313131</v>
      </c>
      <c r="P118" s="3">
        <v>10.0</v>
      </c>
      <c r="Q118" s="7">
        <v>0.42857142857142855</v>
      </c>
      <c r="R118" s="2">
        <v>75.0</v>
      </c>
    </row>
    <row r="119">
      <c r="A119" s="3" t="s">
        <v>160</v>
      </c>
      <c r="C119" s="3" t="s">
        <v>19</v>
      </c>
      <c r="D119" s="3" t="s">
        <v>20</v>
      </c>
      <c r="E119" s="3" t="s">
        <v>161</v>
      </c>
      <c r="F119" s="4">
        <v>12.0</v>
      </c>
      <c r="G119" s="4">
        <v>12.0</v>
      </c>
      <c r="H119" s="5">
        <v>82389.88009999992</v>
      </c>
      <c r="I119" s="6">
        <v>348.0</v>
      </c>
      <c r="J119" s="6">
        <v>204.0</v>
      </c>
      <c r="K119" s="7">
        <v>0.4744186046511628</v>
      </c>
      <c r="L119" s="6">
        <v>420.0</v>
      </c>
      <c r="M119" s="6">
        <v>415.0</v>
      </c>
      <c r="N119" s="7">
        <v>0.9880952380952381</v>
      </c>
      <c r="O119" s="8">
        <v>0.3105331793842035</v>
      </c>
      <c r="P119" s="3">
        <v>9.6</v>
      </c>
      <c r="Q119" s="7">
        <v>0.09389671361502347</v>
      </c>
      <c r="R119" s="9" t="str">
        <f>IFERROR(__xludf.DUMMYFUNCTION("FILTER('Extração 1'!C:C, 'Extração 1'!A:A = A119, 'Extração 1'!B:B = ""boarding"")"),"#REF!")</f>
        <v>#REF!</v>
      </c>
    </row>
    <row r="120">
      <c r="A120" s="3" t="s">
        <v>162</v>
      </c>
      <c r="C120" s="3" t="s">
        <v>19</v>
      </c>
      <c r="D120" s="3" t="s">
        <v>20</v>
      </c>
      <c r="E120" s="3" t="s">
        <v>163</v>
      </c>
      <c r="F120" s="4">
        <v>3.0</v>
      </c>
      <c r="G120" s="4">
        <v>3.0</v>
      </c>
      <c r="H120" s="5">
        <v>1316.16</v>
      </c>
      <c r="I120" s="6">
        <v>9.0</v>
      </c>
      <c r="J120" s="6">
        <v>3.0</v>
      </c>
      <c r="K120" s="7">
        <v>0.2727272727272727</v>
      </c>
      <c r="L120" s="6">
        <v>11.0</v>
      </c>
      <c r="M120" s="6">
        <v>11.0</v>
      </c>
      <c r="N120" s="7">
        <v>1.0</v>
      </c>
      <c r="O120" s="8">
        <v>0.08712752525252525</v>
      </c>
      <c r="P120" s="3">
        <v>10.0</v>
      </c>
      <c r="Q120" s="7">
        <v>0.3333333333333333</v>
      </c>
      <c r="R120" s="9" t="str">
        <f>IFERROR(__xludf.DUMMYFUNCTION("FILTER('Extração 1'!C:C, 'Extração 1'!A:A = A120, 'Extração 1'!B:B = ""boarding"")"),"#REF!")</f>
        <v>#REF!</v>
      </c>
    </row>
    <row r="121">
      <c r="A121" s="3" t="s">
        <v>164</v>
      </c>
      <c r="C121" s="3" t="s">
        <v>19</v>
      </c>
      <c r="D121" s="3" t="s">
        <v>20</v>
      </c>
      <c r="E121" s="3" t="s">
        <v>163</v>
      </c>
      <c r="F121" s="4"/>
      <c r="G121" s="4"/>
      <c r="H121" s="5">
        <v>0.0</v>
      </c>
      <c r="I121" s="6">
        <v>1.0</v>
      </c>
      <c r="J121" s="6">
        <v>0.0</v>
      </c>
      <c r="K121" s="7">
        <v>0.0</v>
      </c>
      <c r="L121" s="6">
        <v>1.0</v>
      </c>
      <c r="M121" s="6">
        <v>1.0</v>
      </c>
      <c r="N121" s="7">
        <v>1.0</v>
      </c>
      <c r="O121" s="8">
        <v>0.16694444444444445</v>
      </c>
      <c r="Q121" s="7"/>
      <c r="R121" s="2">
        <v>100.0</v>
      </c>
    </row>
    <row r="122">
      <c r="A122" s="3" t="s">
        <v>165</v>
      </c>
      <c r="C122" s="3" t="s">
        <v>19</v>
      </c>
      <c r="D122" s="3" t="s">
        <v>20</v>
      </c>
      <c r="E122" s="3" t="s">
        <v>163</v>
      </c>
      <c r="F122" s="4">
        <v>20.0</v>
      </c>
      <c r="G122" s="4">
        <v>20.0</v>
      </c>
      <c r="H122" s="5">
        <v>26294.05</v>
      </c>
      <c r="I122" s="6">
        <v>166.0</v>
      </c>
      <c r="J122" s="6">
        <v>82.0</v>
      </c>
      <c r="K122" s="7">
        <v>0.41</v>
      </c>
      <c r="L122" s="6">
        <v>179.0</v>
      </c>
      <c r="M122" s="6">
        <v>179.0</v>
      </c>
      <c r="N122" s="7">
        <v>1.0</v>
      </c>
      <c r="O122" s="8">
        <v>0.1959584891472751</v>
      </c>
      <c r="P122" s="3">
        <v>10.0</v>
      </c>
      <c r="Q122" s="7">
        <v>0.06666666666666667</v>
      </c>
      <c r="R122" s="9" t="str">
        <f>IFERROR(__xludf.DUMMYFUNCTION("FILTER('Extração 1'!C:C, 'Extração 1'!A:A = A122, 'Extração 1'!B:B = ""boarding"")"),"#REF!")</f>
        <v>#REF!</v>
      </c>
    </row>
    <row r="123">
      <c r="A123" s="3" t="s">
        <v>166</v>
      </c>
      <c r="C123" s="3" t="s">
        <v>19</v>
      </c>
      <c r="D123" s="3" t="s">
        <v>20</v>
      </c>
      <c r="E123" s="3" t="s">
        <v>163</v>
      </c>
      <c r="F123" s="4">
        <v>6.0</v>
      </c>
      <c r="G123" s="4">
        <v>6.0</v>
      </c>
      <c r="H123" s="5">
        <v>7170.239999999999</v>
      </c>
      <c r="I123" s="6">
        <v>148.0</v>
      </c>
      <c r="J123" s="6">
        <v>26.0</v>
      </c>
      <c r="K123" s="7">
        <v>0.14606741573033707</v>
      </c>
      <c r="L123" s="6">
        <v>166.0</v>
      </c>
      <c r="M123" s="6">
        <v>150.0</v>
      </c>
      <c r="N123" s="7">
        <v>0.9036144578313253</v>
      </c>
      <c r="O123" s="8">
        <v>0.31503261316872433</v>
      </c>
      <c r="P123" s="3">
        <v>10.0</v>
      </c>
      <c r="Q123" s="7">
        <v>0.21428571428571427</v>
      </c>
      <c r="R123" s="9" t="str">
        <f>IFERROR(__xludf.DUMMYFUNCTION("FILTER('Extração 1'!C:C, 'Extração 1'!A:A = A123, 'Extração 1'!B:B = ""boarding"")"),"#REF!")</f>
        <v>#REF!</v>
      </c>
    </row>
    <row r="124">
      <c r="A124" s="3" t="s">
        <v>167</v>
      </c>
      <c r="C124" s="3" t="s">
        <v>19</v>
      </c>
      <c r="D124" s="3" t="s">
        <v>20</v>
      </c>
      <c r="E124" s="3" t="s">
        <v>163</v>
      </c>
      <c r="F124" s="4">
        <v>4.0</v>
      </c>
      <c r="G124" s="4">
        <v>4.0</v>
      </c>
      <c r="H124" s="5">
        <v>6274.22</v>
      </c>
      <c r="I124" s="6">
        <v>46.0</v>
      </c>
      <c r="J124" s="6">
        <v>11.0</v>
      </c>
      <c r="K124" s="7">
        <v>0.20754716981132076</v>
      </c>
      <c r="L124" s="6">
        <v>45.0</v>
      </c>
      <c r="M124" s="6">
        <v>44.0</v>
      </c>
      <c r="N124" s="7">
        <v>0.9777777777777777</v>
      </c>
      <c r="O124" s="8">
        <v>0.13280092592592593</v>
      </c>
      <c r="P124" s="3">
        <v>9.666666666666666</v>
      </c>
      <c r="Q124" s="7">
        <v>0.5</v>
      </c>
      <c r="R124" s="9" t="str">
        <f>IFERROR(__xludf.DUMMYFUNCTION("FILTER('Extração 1'!C:C, 'Extração 1'!A:A = A124, 'Extração 1'!B:B = ""boarding"")"),"#REF!")</f>
        <v>#REF!</v>
      </c>
    </row>
    <row r="125">
      <c r="A125" s="3" t="s">
        <v>168</v>
      </c>
      <c r="C125" s="3" t="s">
        <v>19</v>
      </c>
      <c r="D125" s="3" t="s">
        <v>20</v>
      </c>
      <c r="E125" s="3" t="s">
        <v>169</v>
      </c>
      <c r="F125" s="4">
        <v>7.0</v>
      </c>
      <c r="G125" s="4">
        <v>7.0</v>
      </c>
      <c r="H125" s="5">
        <v>2672.7200000000003</v>
      </c>
      <c r="I125" s="6">
        <v>39.0</v>
      </c>
      <c r="J125" s="6">
        <v>11.0</v>
      </c>
      <c r="K125" s="7">
        <v>0.22448979591836735</v>
      </c>
      <c r="L125" s="6">
        <v>44.0</v>
      </c>
      <c r="M125" s="6">
        <v>44.0</v>
      </c>
      <c r="N125" s="7">
        <v>1.0</v>
      </c>
      <c r="O125" s="8">
        <v>0.15531565656565657</v>
      </c>
      <c r="P125" s="3">
        <v>10.0</v>
      </c>
      <c r="Q125" s="7">
        <v>0.18181818181818182</v>
      </c>
      <c r="R125" s="9" t="str">
        <f>IFERROR(__xludf.DUMMYFUNCTION("FILTER('Extração 1'!C:C, 'Extração 1'!A:A = A125, 'Extração 1'!B:B = ""boarding"")"),"#REF!")</f>
        <v>#REF!</v>
      </c>
    </row>
    <row r="126">
      <c r="A126" s="3" t="s">
        <v>170</v>
      </c>
      <c r="C126" s="3" t="s">
        <v>19</v>
      </c>
      <c r="D126" s="3" t="s">
        <v>20</v>
      </c>
      <c r="E126" s="3" t="s">
        <v>169</v>
      </c>
      <c r="F126" s="4">
        <v>1.0</v>
      </c>
      <c r="G126" s="4">
        <v>1.0</v>
      </c>
      <c r="H126" s="5">
        <v>1400.6999999999998</v>
      </c>
      <c r="I126" s="6">
        <v>51.0</v>
      </c>
      <c r="J126" s="6">
        <v>4.0</v>
      </c>
      <c r="K126" s="7">
        <v>0.06896551724137931</v>
      </c>
      <c r="L126" s="6">
        <v>52.0</v>
      </c>
      <c r="M126" s="6">
        <v>39.0</v>
      </c>
      <c r="N126" s="7">
        <v>0.75</v>
      </c>
      <c r="O126" s="8">
        <v>0.37719327267714364</v>
      </c>
      <c r="P126" s="3">
        <v>10.0</v>
      </c>
      <c r="Q126" s="7">
        <v>0.5</v>
      </c>
      <c r="R126" s="9" t="str">
        <f>IFERROR(__xludf.DUMMYFUNCTION("FILTER('Extração 1'!C:C, 'Extração 1'!A:A = A126, 'Extração 1'!B:B = ""boarding"")"),"#REF!")</f>
        <v>#REF!</v>
      </c>
    </row>
    <row r="127">
      <c r="A127" s="3" t="s">
        <v>171</v>
      </c>
      <c r="C127" s="3" t="s">
        <v>19</v>
      </c>
      <c r="D127" s="3" t="s">
        <v>20</v>
      </c>
      <c r="E127" s="3" t="s">
        <v>169</v>
      </c>
      <c r="F127" s="4">
        <v>16.0</v>
      </c>
      <c r="G127" s="4">
        <v>16.0</v>
      </c>
      <c r="H127" s="5">
        <v>78414.23999999993</v>
      </c>
      <c r="I127" s="6">
        <v>522.0</v>
      </c>
      <c r="J127" s="6">
        <v>170.0</v>
      </c>
      <c r="K127" s="7">
        <v>0.2599388379204893</v>
      </c>
      <c r="L127" s="6">
        <v>608.0</v>
      </c>
      <c r="M127" s="6">
        <v>602.0</v>
      </c>
      <c r="N127" s="7">
        <v>0.9901315789473685</v>
      </c>
      <c r="O127" s="8">
        <v>0.10578205196276239</v>
      </c>
      <c r="P127" s="3">
        <v>9.736842105263158</v>
      </c>
      <c r="Q127" s="7">
        <v>0.21348314606741572</v>
      </c>
      <c r="R127" s="9" t="str">
        <f>IFERROR(__xludf.DUMMYFUNCTION("FILTER('Extração 1'!C:C, 'Extração 1'!A:A = A127, 'Extração 1'!B:B = ""boarding"")"),"#REF!")</f>
        <v>#REF!</v>
      </c>
    </row>
    <row r="128">
      <c r="A128" s="3" t="s">
        <v>172</v>
      </c>
      <c r="C128" s="3" t="s">
        <v>19</v>
      </c>
      <c r="D128" s="3" t="s">
        <v>20</v>
      </c>
      <c r="E128" s="3" t="s">
        <v>169</v>
      </c>
      <c r="F128" s="4">
        <v>1.0</v>
      </c>
      <c r="G128" s="4">
        <v>1.0</v>
      </c>
      <c r="H128" s="5">
        <v>752.08</v>
      </c>
      <c r="I128" s="6">
        <v>8.0</v>
      </c>
      <c r="J128" s="6">
        <v>1.0</v>
      </c>
      <c r="K128" s="7">
        <v>0.1111111111111111</v>
      </c>
      <c r="L128" s="6">
        <v>9.0</v>
      </c>
      <c r="M128" s="6">
        <v>9.0</v>
      </c>
      <c r="N128" s="7">
        <v>1.0</v>
      </c>
      <c r="O128" s="8">
        <v>1.208016975308642</v>
      </c>
      <c r="P128" s="3">
        <v>10.0</v>
      </c>
      <c r="Q128" s="7">
        <v>1.0</v>
      </c>
      <c r="R128" s="9" t="str">
        <f>IFERROR(__xludf.DUMMYFUNCTION("FILTER('Extração 1'!C:C, 'Extração 1'!A:A = A128, 'Extração 1'!B:B = ""boarding"")"),"#REF!")</f>
        <v>#REF!</v>
      </c>
    </row>
    <row r="129">
      <c r="A129" s="3" t="s">
        <v>173</v>
      </c>
      <c r="C129" s="3" t="s">
        <v>19</v>
      </c>
      <c r="D129" s="3" t="s">
        <v>20</v>
      </c>
      <c r="E129" s="3" t="s">
        <v>169</v>
      </c>
      <c r="F129" s="4">
        <v>6.0</v>
      </c>
      <c r="G129" s="4">
        <v>6.0</v>
      </c>
      <c r="H129" s="5">
        <v>32623.04</v>
      </c>
      <c r="I129" s="6">
        <v>225.0</v>
      </c>
      <c r="J129" s="6">
        <v>79.0</v>
      </c>
      <c r="K129" s="7">
        <v>0.2936802973977695</v>
      </c>
      <c r="L129" s="6">
        <v>249.0</v>
      </c>
      <c r="M129" s="6">
        <v>248.0</v>
      </c>
      <c r="N129" s="7">
        <v>0.9959839357429718</v>
      </c>
      <c r="O129" s="8">
        <v>0.08927043848791935</v>
      </c>
      <c r="P129" s="3">
        <v>9.11111111111111</v>
      </c>
      <c r="Q129" s="7">
        <v>0.10588235294117647</v>
      </c>
      <c r="R129" s="9" t="str">
        <f>IFERROR(__xludf.DUMMYFUNCTION("FILTER('Extração 1'!C:C, 'Extração 1'!A:A = A129, 'Extração 1'!B:B = ""boarding"")"),"#REF!")</f>
        <v>#REF!</v>
      </c>
    </row>
    <row r="130">
      <c r="A130" s="3" t="s">
        <v>174</v>
      </c>
      <c r="C130" s="3" t="s">
        <v>19</v>
      </c>
      <c r="D130" s="3" t="s">
        <v>20</v>
      </c>
      <c r="E130" s="3" t="s">
        <v>175</v>
      </c>
      <c r="F130" s="4">
        <v>7.0</v>
      </c>
      <c r="G130" s="4">
        <v>7.0</v>
      </c>
      <c r="H130" s="5">
        <v>5481.42</v>
      </c>
      <c r="I130" s="6">
        <v>93.0</v>
      </c>
      <c r="J130" s="6">
        <v>27.0</v>
      </c>
      <c r="K130" s="7">
        <v>0.25</v>
      </c>
      <c r="L130" s="6">
        <v>99.0</v>
      </c>
      <c r="M130" s="6">
        <v>94.0</v>
      </c>
      <c r="N130" s="7">
        <v>0.9494949494949495</v>
      </c>
      <c r="O130" s="8">
        <v>1.184038746644228</v>
      </c>
      <c r="P130" s="3">
        <v>10.0</v>
      </c>
      <c r="Q130" s="7">
        <v>0.26666666666666666</v>
      </c>
      <c r="R130" s="9" t="str">
        <f>IFERROR(__xludf.DUMMYFUNCTION("FILTER('Extração 1'!C:C, 'Extração 1'!A:A = A130, 'Extração 1'!B:B = ""boarding"")"),"#REF!")</f>
        <v>#REF!</v>
      </c>
    </row>
    <row r="131">
      <c r="A131" s="3" t="s">
        <v>176</v>
      </c>
      <c r="C131" s="3" t="s">
        <v>19</v>
      </c>
      <c r="D131" s="3" t="s">
        <v>20</v>
      </c>
      <c r="E131" s="3" t="s">
        <v>175</v>
      </c>
      <c r="F131" s="4">
        <v>4.0</v>
      </c>
      <c r="G131" s="4">
        <v>4.0</v>
      </c>
      <c r="H131" s="5">
        <v>39192.58</v>
      </c>
      <c r="I131" s="6">
        <v>152.0</v>
      </c>
      <c r="J131" s="6">
        <v>46.0</v>
      </c>
      <c r="K131" s="7">
        <v>0.26436781609195403</v>
      </c>
      <c r="L131" s="6">
        <v>166.0</v>
      </c>
      <c r="M131" s="6">
        <v>164.0</v>
      </c>
      <c r="N131" s="7">
        <v>0.9879518072289156</v>
      </c>
      <c r="O131" s="8">
        <v>0.0266473859530262</v>
      </c>
      <c r="P131" s="3">
        <v>10.0</v>
      </c>
      <c r="Q131" s="7">
        <v>0.4583333333333333</v>
      </c>
      <c r="R131" s="9" t="str">
        <f>IFERROR(__xludf.DUMMYFUNCTION("FILTER('Extração 1'!C:C, 'Extração 1'!A:A = A131, 'Extração 1'!B:B = ""boarding"")"),"#REF!")</f>
        <v>#REF!</v>
      </c>
    </row>
    <row r="132">
      <c r="A132" s="3" t="s">
        <v>177</v>
      </c>
      <c r="C132" s="3" t="s">
        <v>19</v>
      </c>
      <c r="D132" s="3" t="s">
        <v>20</v>
      </c>
      <c r="E132" s="3" t="s">
        <v>175</v>
      </c>
      <c r="F132" s="4">
        <v>3.0</v>
      </c>
      <c r="G132" s="4">
        <v>3.0</v>
      </c>
      <c r="H132" s="5">
        <v>12631.449899999998</v>
      </c>
      <c r="I132" s="6">
        <v>63.0</v>
      </c>
      <c r="J132" s="6">
        <v>27.0</v>
      </c>
      <c r="K132" s="7">
        <v>0.3068181818181818</v>
      </c>
      <c r="L132" s="6">
        <v>82.0</v>
      </c>
      <c r="M132" s="6">
        <v>82.0</v>
      </c>
      <c r="N132" s="7">
        <v>1.0</v>
      </c>
      <c r="O132" s="8">
        <v>1.03019955654102</v>
      </c>
      <c r="P132" s="3">
        <v>10.0</v>
      </c>
      <c r="Q132" s="7">
        <v>0.17857142857142858</v>
      </c>
      <c r="R132" s="9" t="str">
        <f>IFERROR(__xludf.DUMMYFUNCTION("FILTER('Extração 1'!C:C, 'Extração 1'!A:A = A132, 'Extração 1'!B:B = ""boarding"")"),"#REF!")</f>
        <v>#REF!</v>
      </c>
    </row>
    <row r="133">
      <c r="A133" s="3" t="s">
        <v>178</v>
      </c>
      <c r="C133" s="3" t="s">
        <v>19</v>
      </c>
      <c r="D133" s="3" t="s">
        <v>20</v>
      </c>
      <c r="E133" s="3" t="s">
        <v>175</v>
      </c>
      <c r="F133" s="4">
        <v>2.0</v>
      </c>
      <c r="G133" s="4">
        <v>2.0</v>
      </c>
      <c r="H133" s="5">
        <v>6459.18</v>
      </c>
      <c r="I133" s="6">
        <v>36.0</v>
      </c>
      <c r="J133" s="6">
        <v>12.0</v>
      </c>
      <c r="K133" s="7">
        <v>0.32432432432432434</v>
      </c>
      <c r="L133" s="6">
        <v>31.0</v>
      </c>
      <c r="M133" s="6">
        <v>31.0</v>
      </c>
      <c r="N133" s="7">
        <v>1.0</v>
      </c>
      <c r="O133" s="8">
        <v>0.08698223468910705</v>
      </c>
      <c r="P133" s="3">
        <v>10.0</v>
      </c>
      <c r="Q133" s="7">
        <v>0.36363636363636365</v>
      </c>
      <c r="R133" s="9" t="str">
        <f>IFERROR(__xludf.DUMMYFUNCTION("FILTER('Extração 1'!C:C, 'Extração 1'!A:A = A133, 'Extração 1'!B:B = ""boarding"")"),"#REF!")</f>
        <v>#REF!</v>
      </c>
    </row>
    <row r="134">
      <c r="A134" s="3" t="s">
        <v>179</v>
      </c>
      <c r="C134" s="3" t="s">
        <v>19</v>
      </c>
      <c r="D134" s="3" t="s">
        <v>20</v>
      </c>
      <c r="E134" s="3" t="s">
        <v>180</v>
      </c>
      <c r="F134" s="4">
        <v>8.0</v>
      </c>
      <c r="G134" s="4">
        <v>8.0</v>
      </c>
      <c r="H134" s="5">
        <v>2572.56</v>
      </c>
      <c r="I134" s="6">
        <v>49.0</v>
      </c>
      <c r="J134" s="6">
        <v>4.0</v>
      </c>
      <c r="K134" s="7">
        <v>0.07142857142857142</v>
      </c>
      <c r="L134" s="6">
        <v>51.0</v>
      </c>
      <c r="M134" s="6">
        <v>43.0</v>
      </c>
      <c r="N134" s="7">
        <v>0.8431372549019608</v>
      </c>
      <c r="O134" s="8">
        <v>2.7180276206438996</v>
      </c>
      <c r="Q134" s="7">
        <v>0.0</v>
      </c>
      <c r="R134" s="9" t="str">
        <f>IFERROR(__xludf.DUMMYFUNCTION("FILTER('Extração 1'!C:C, 'Extração 1'!A:A = A134, 'Extração 1'!B:B = ""boarding"")"),"#REF!")</f>
        <v>#REF!</v>
      </c>
    </row>
    <row r="135">
      <c r="A135" s="3" t="s">
        <v>181</v>
      </c>
      <c r="B135" s="3" t="s">
        <v>53</v>
      </c>
      <c r="C135" s="3" t="s">
        <v>19</v>
      </c>
      <c r="D135" s="3" t="s">
        <v>20</v>
      </c>
      <c r="E135" s="3" t="s">
        <v>180</v>
      </c>
      <c r="F135" s="4">
        <v>6.0</v>
      </c>
      <c r="G135" s="4">
        <v>6.0</v>
      </c>
      <c r="H135" s="5">
        <v>10898.78</v>
      </c>
      <c r="I135" s="6">
        <v>143.0</v>
      </c>
      <c r="J135" s="6">
        <v>30.0</v>
      </c>
      <c r="K135" s="7">
        <v>0.17751479289940827</v>
      </c>
      <c r="L135" s="6">
        <v>156.0</v>
      </c>
      <c r="M135" s="6">
        <v>119.0</v>
      </c>
      <c r="N135" s="7">
        <v>0.7628205128205128</v>
      </c>
      <c r="O135" s="8">
        <v>0.5167971677559913</v>
      </c>
      <c r="P135" s="3">
        <v>10.0</v>
      </c>
      <c r="Q135" s="7">
        <v>0.23333333333333334</v>
      </c>
      <c r="R135" s="9" t="str">
        <f>IFERROR(__xludf.DUMMYFUNCTION("FILTER('Extração 1'!C:C, 'Extração 1'!A:A = A135, 'Extração 1'!B:B = ""boarding"")"),"#REF!")</f>
        <v>#REF!</v>
      </c>
    </row>
    <row r="136">
      <c r="A136" s="3" t="s">
        <v>182</v>
      </c>
      <c r="C136" s="3" t="s">
        <v>19</v>
      </c>
      <c r="D136" s="3" t="s">
        <v>20</v>
      </c>
      <c r="E136" s="3" t="s">
        <v>180</v>
      </c>
      <c r="F136" s="4">
        <v>2.0</v>
      </c>
      <c r="G136" s="4">
        <v>2.0</v>
      </c>
      <c r="H136" s="5">
        <v>0.0</v>
      </c>
      <c r="I136" s="6">
        <v>5.0</v>
      </c>
      <c r="J136" s="6">
        <v>0.0</v>
      </c>
      <c r="K136" s="7">
        <v>0.0</v>
      </c>
      <c r="L136" s="6">
        <v>1.0</v>
      </c>
      <c r="M136" s="6">
        <v>1.0</v>
      </c>
      <c r="N136" s="7">
        <v>1.0</v>
      </c>
      <c r="O136" s="8">
        <v>9.428888888888888</v>
      </c>
      <c r="Q136" s="7"/>
      <c r="R136" s="9" t="str">
        <f>IFERROR(__xludf.DUMMYFUNCTION("FILTER('Extração 1'!C:C, 'Extração 1'!A:A = A136, 'Extração 1'!B:B = ""boarding"")"),"#REF!")</f>
        <v>#REF!</v>
      </c>
    </row>
    <row r="137">
      <c r="A137" s="3" t="s">
        <v>183</v>
      </c>
      <c r="B137" s="3" t="s">
        <v>68</v>
      </c>
      <c r="C137" s="3" t="s">
        <v>19</v>
      </c>
      <c r="D137" s="3" t="s">
        <v>20</v>
      </c>
      <c r="E137" s="3" t="s">
        <v>180</v>
      </c>
      <c r="F137" s="4">
        <v>2.0</v>
      </c>
      <c r="G137" s="4">
        <v>2.0</v>
      </c>
      <c r="H137" s="5">
        <v>4758.2</v>
      </c>
      <c r="I137" s="6">
        <v>39.0</v>
      </c>
      <c r="J137" s="6">
        <v>9.0</v>
      </c>
      <c r="K137" s="7">
        <v>0.225</v>
      </c>
      <c r="L137" s="6">
        <v>36.0</v>
      </c>
      <c r="M137" s="6">
        <v>35.0</v>
      </c>
      <c r="N137" s="7">
        <v>0.9722222222222222</v>
      </c>
      <c r="O137" s="8">
        <v>0.07302073732718894</v>
      </c>
      <c r="P137" s="3">
        <v>10.0</v>
      </c>
      <c r="Q137" s="7">
        <v>0.4444444444444444</v>
      </c>
      <c r="R137" s="9" t="str">
        <f>IFERROR(__xludf.DUMMYFUNCTION("FILTER('Extração 1'!C:C, 'Extração 1'!A:A = A137, 'Extração 1'!B:B = ""boarding"")"),"#REF!")</f>
        <v>#REF!</v>
      </c>
    </row>
    <row r="138">
      <c r="A138" s="3" t="s">
        <v>184</v>
      </c>
      <c r="C138" s="3" t="s">
        <v>19</v>
      </c>
      <c r="D138" s="3" t="s">
        <v>20</v>
      </c>
      <c r="E138" s="3" t="s">
        <v>180</v>
      </c>
      <c r="F138" s="4">
        <v>4.0</v>
      </c>
      <c r="G138" s="4">
        <v>4.0</v>
      </c>
      <c r="H138" s="5">
        <v>1987.5000000000002</v>
      </c>
      <c r="I138" s="6">
        <v>15.0</v>
      </c>
      <c r="J138" s="6">
        <v>6.0</v>
      </c>
      <c r="K138" s="7">
        <v>0.2857142857142857</v>
      </c>
      <c r="L138" s="6">
        <v>21.0</v>
      </c>
      <c r="M138" s="6">
        <v>21.0</v>
      </c>
      <c r="N138" s="7">
        <v>1.0</v>
      </c>
      <c r="O138" s="8">
        <v>0.38871957671957674</v>
      </c>
      <c r="Q138" s="7">
        <v>0.0</v>
      </c>
      <c r="R138" s="9" t="str">
        <f>IFERROR(__xludf.DUMMYFUNCTION("FILTER('Extração 1'!C:C, 'Extração 1'!A:A = A138, 'Extração 1'!B:B = ""boarding"")"),"#REF!")</f>
        <v>#REF!</v>
      </c>
    </row>
    <row r="139">
      <c r="A139" s="3" t="s">
        <v>185</v>
      </c>
      <c r="C139" s="3" t="s">
        <v>19</v>
      </c>
      <c r="D139" s="3" t="s">
        <v>20</v>
      </c>
      <c r="E139" s="3" t="s">
        <v>180</v>
      </c>
      <c r="F139" s="4">
        <v>7.0</v>
      </c>
      <c r="G139" s="4">
        <v>7.0</v>
      </c>
      <c r="H139" s="5">
        <v>3465.8799999999997</v>
      </c>
      <c r="I139" s="6">
        <v>45.0</v>
      </c>
      <c r="J139" s="6">
        <v>5.0</v>
      </c>
      <c r="K139" s="7">
        <v>0.1</v>
      </c>
      <c r="L139" s="6">
        <v>44.0</v>
      </c>
      <c r="M139" s="6">
        <v>26.0</v>
      </c>
      <c r="N139" s="7">
        <v>0.5909090909090909</v>
      </c>
      <c r="O139" s="8">
        <v>1.747385878010878</v>
      </c>
      <c r="P139" s="3">
        <v>10.0</v>
      </c>
      <c r="Q139" s="7">
        <v>0.1111111111111111</v>
      </c>
      <c r="R139" s="9" t="str">
        <f>IFERROR(__xludf.DUMMYFUNCTION("FILTER('Extração 1'!C:C, 'Extração 1'!A:A = A139, 'Extração 1'!B:B = ""boarding"")"),"#REF!")</f>
        <v>#REF!</v>
      </c>
    </row>
    <row r="140">
      <c r="A140" s="3" t="s">
        <v>186</v>
      </c>
      <c r="C140" s="3" t="s">
        <v>19</v>
      </c>
      <c r="D140" s="3" t="s">
        <v>20</v>
      </c>
      <c r="E140" s="3" t="s">
        <v>187</v>
      </c>
      <c r="F140" s="4">
        <v>5.0</v>
      </c>
      <c r="G140" s="4">
        <v>5.0</v>
      </c>
      <c r="H140" s="5">
        <v>51484.11989999998</v>
      </c>
      <c r="I140" s="6">
        <v>168.0</v>
      </c>
      <c r="J140" s="6">
        <v>84.0</v>
      </c>
      <c r="K140" s="7">
        <v>0.417910447761194</v>
      </c>
      <c r="L140" s="6">
        <v>182.0</v>
      </c>
      <c r="M140" s="6">
        <v>182.0</v>
      </c>
      <c r="N140" s="7">
        <v>1.0</v>
      </c>
      <c r="O140" s="8">
        <v>0.14436751623726413</v>
      </c>
      <c r="P140" s="3">
        <v>10.0</v>
      </c>
      <c r="Q140" s="7">
        <v>0.6588235294117647</v>
      </c>
      <c r="R140" s="9" t="str">
        <f>IFERROR(__xludf.DUMMYFUNCTION("FILTER('Extração 1'!C:C, 'Extração 1'!A:A = A140, 'Extração 1'!B:B = ""boarding"")"),"#REF!")</f>
        <v>#REF!</v>
      </c>
    </row>
    <row r="141">
      <c r="A141" s="3" t="s">
        <v>188</v>
      </c>
      <c r="C141" s="3" t="s">
        <v>19</v>
      </c>
      <c r="D141" s="3" t="s">
        <v>20</v>
      </c>
      <c r="E141" s="3" t="s">
        <v>187</v>
      </c>
      <c r="F141" s="4"/>
      <c r="G141" s="4"/>
      <c r="H141" s="5">
        <v>2843.72</v>
      </c>
      <c r="I141" s="6">
        <v>91.0</v>
      </c>
      <c r="J141" s="6">
        <v>13.0</v>
      </c>
      <c r="K141" s="7">
        <v>0.13402061855670103</v>
      </c>
      <c r="L141" s="6">
        <v>90.0</v>
      </c>
      <c r="M141" s="6">
        <v>75.0</v>
      </c>
      <c r="N141" s="7">
        <v>0.8333333333333334</v>
      </c>
      <c r="O141" s="8">
        <v>0.12161048336472065</v>
      </c>
      <c r="P141" s="3">
        <v>10.0</v>
      </c>
      <c r="Q141" s="7">
        <v>0.15384615384615385</v>
      </c>
      <c r="R141" s="2">
        <v>110.0</v>
      </c>
    </row>
    <row r="142">
      <c r="A142" s="3" t="s">
        <v>189</v>
      </c>
      <c r="C142" s="3" t="s">
        <v>19</v>
      </c>
      <c r="D142" s="3" t="s">
        <v>20</v>
      </c>
      <c r="E142" s="3" t="s">
        <v>187</v>
      </c>
      <c r="F142" s="4">
        <v>3.0</v>
      </c>
      <c r="G142" s="4">
        <v>3.0</v>
      </c>
      <c r="H142" s="5">
        <v>4238.52</v>
      </c>
      <c r="I142" s="6">
        <v>62.0</v>
      </c>
      <c r="J142" s="6">
        <v>11.0</v>
      </c>
      <c r="K142" s="7">
        <v>0.16176470588235295</v>
      </c>
      <c r="L142" s="6">
        <v>61.0</v>
      </c>
      <c r="M142" s="6">
        <v>60.0</v>
      </c>
      <c r="N142" s="7">
        <v>0.9836065573770492</v>
      </c>
      <c r="O142" s="8">
        <v>0.4691779513888889</v>
      </c>
      <c r="P142" s="3">
        <v>10.0</v>
      </c>
      <c r="Q142" s="7">
        <v>0.3076923076923077</v>
      </c>
      <c r="R142" s="9" t="str">
        <f>IFERROR(__xludf.DUMMYFUNCTION("FILTER('Extração 1'!C:C, 'Extração 1'!A:A = A142, 'Extração 1'!B:B = ""boarding"")"),"#REF!")</f>
        <v>#REF!</v>
      </c>
    </row>
    <row r="143">
      <c r="A143" s="3" t="s">
        <v>190</v>
      </c>
      <c r="C143" s="3" t="s">
        <v>19</v>
      </c>
      <c r="D143" s="3" t="s">
        <v>20</v>
      </c>
      <c r="E143" s="3" t="s">
        <v>187</v>
      </c>
      <c r="F143" s="4">
        <v>3.0</v>
      </c>
      <c r="G143" s="4">
        <v>3.0</v>
      </c>
      <c r="H143" s="5">
        <v>0.0</v>
      </c>
      <c r="I143" s="6">
        <v>18.0</v>
      </c>
      <c r="J143" s="6">
        <v>0.0</v>
      </c>
      <c r="K143" s="7">
        <v>0.0</v>
      </c>
      <c r="L143" s="6">
        <v>21.0</v>
      </c>
      <c r="M143" s="6">
        <v>18.0</v>
      </c>
      <c r="N143" s="7">
        <v>0.8571428571428571</v>
      </c>
      <c r="O143" s="8">
        <v>2.168028549382716</v>
      </c>
      <c r="Q143" s="7"/>
      <c r="R143" s="9" t="str">
        <f>IFERROR(__xludf.DUMMYFUNCTION("FILTER('Extração 1'!C:C, 'Extração 1'!A:A = A143, 'Extração 1'!B:B = ""boarding"")"),"#REF!")</f>
        <v>#REF!</v>
      </c>
    </row>
    <row r="144">
      <c r="A144" s="3" t="s">
        <v>191</v>
      </c>
      <c r="C144" s="3" t="s">
        <v>19</v>
      </c>
      <c r="D144" s="3" t="s">
        <v>20</v>
      </c>
      <c r="E144" s="3" t="s">
        <v>187</v>
      </c>
      <c r="F144" s="4">
        <v>1.0</v>
      </c>
      <c r="G144" s="4">
        <v>1.0</v>
      </c>
      <c r="H144" s="5">
        <v>0.0</v>
      </c>
      <c r="I144" s="6">
        <v>2.0</v>
      </c>
      <c r="J144" s="6">
        <v>0.0</v>
      </c>
      <c r="K144" s="7">
        <v>0.0</v>
      </c>
      <c r="L144" s="6">
        <v>2.0</v>
      </c>
      <c r="M144" s="6">
        <v>0.0</v>
      </c>
      <c r="N144" s="7">
        <v>0.0</v>
      </c>
      <c r="O144" s="8"/>
      <c r="Q144" s="7"/>
      <c r="R144" s="9" t="str">
        <f>IFERROR(__xludf.DUMMYFUNCTION("FILTER('Extração 1'!C:C, 'Extração 1'!A:A = A144, 'Extração 1'!B:B = ""boarding"")"),"#REF!")</f>
        <v>#REF!</v>
      </c>
    </row>
    <row r="145">
      <c r="A145" s="3" t="s">
        <v>192</v>
      </c>
      <c r="C145" s="3" t="s">
        <v>19</v>
      </c>
      <c r="D145" s="3" t="s">
        <v>20</v>
      </c>
      <c r="E145" s="3" t="s">
        <v>187</v>
      </c>
      <c r="F145" s="4"/>
      <c r="G145" s="4"/>
      <c r="H145" s="5">
        <v>0.0</v>
      </c>
      <c r="I145" s="6">
        <v>1.0</v>
      </c>
      <c r="J145" s="6">
        <v>0.0</v>
      </c>
      <c r="K145" s="7">
        <v>0.0</v>
      </c>
      <c r="L145" s="6">
        <v>4.0</v>
      </c>
      <c r="M145" s="6">
        <v>4.0</v>
      </c>
      <c r="N145" s="7">
        <v>1.0</v>
      </c>
      <c r="O145" s="8">
        <v>5.438645833333333</v>
      </c>
      <c r="Q145" s="7"/>
      <c r="R145" s="2">
        <v>45.0</v>
      </c>
    </row>
    <row r="146">
      <c r="A146" s="3" t="s">
        <v>193</v>
      </c>
      <c r="C146" s="3" t="s">
        <v>19</v>
      </c>
      <c r="D146" s="3" t="s">
        <v>20</v>
      </c>
      <c r="E146" s="3" t="s">
        <v>187</v>
      </c>
      <c r="F146" s="4">
        <v>6.0</v>
      </c>
      <c r="G146" s="4">
        <v>6.0</v>
      </c>
      <c r="H146" s="5">
        <v>44007.71980000001</v>
      </c>
      <c r="I146" s="6">
        <v>190.0</v>
      </c>
      <c r="J146" s="6">
        <v>94.0</v>
      </c>
      <c r="K146" s="7">
        <v>0.41964285714285715</v>
      </c>
      <c r="L146" s="6">
        <v>218.0</v>
      </c>
      <c r="M146" s="6">
        <v>210.0</v>
      </c>
      <c r="N146" s="7">
        <v>0.963302752293578</v>
      </c>
      <c r="O146" s="8">
        <v>0.12332429739572597</v>
      </c>
      <c r="P146" s="3">
        <v>9.523809523809524</v>
      </c>
      <c r="Q146" s="7">
        <v>0.45652173913043476</v>
      </c>
      <c r="R146" s="9" t="str">
        <f>IFERROR(__xludf.DUMMYFUNCTION("FILTER('Extração 1'!C:C, 'Extração 1'!A:A = A146, 'Extração 1'!B:B = ""boarding"")"),"#REF!")</f>
        <v>#REF!</v>
      </c>
    </row>
    <row r="147">
      <c r="A147" s="3" t="s">
        <v>194</v>
      </c>
      <c r="C147" s="3" t="s">
        <v>19</v>
      </c>
      <c r="D147" s="3" t="s">
        <v>20</v>
      </c>
      <c r="E147" s="3" t="s">
        <v>187</v>
      </c>
      <c r="F147" s="4">
        <v>10.0</v>
      </c>
      <c r="G147" s="4">
        <v>10.0</v>
      </c>
      <c r="H147" s="5">
        <v>11540.419999999998</v>
      </c>
      <c r="I147" s="6">
        <v>142.0</v>
      </c>
      <c r="J147" s="6">
        <v>27.0</v>
      </c>
      <c r="K147" s="7">
        <v>0.17307692307692307</v>
      </c>
      <c r="L147" s="6">
        <v>144.0</v>
      </c>
      <c r="M147" s="6">
        <v>139.0</v>
      </c>
      <c r="N147" s="7">
        <v>0.9652777777777778</v>
      </c>
      <c r="O147" s="8">
        <v>0.19528661918949689</v>
      </c>
      <c r="P147" s="3">
        <v>10.0</v>
      </c>
      <c r="Q147" s="7">
        <v>0.2222222222222222</v>
      </c>
      <c r="R147" s="9" t="str">
        <f>IFERROR(__xludf.DUMMYFUNCTION("FILTER('Extração 1'!C:C, 'Extração 1'!A:A = A147, 'Extração 1'!B:B = ""boarding"")"),"#REF!")</f>
        <v>#REF!</v>
      </c>
    </row>
    <row r="148">
      <c r="A148" s="3" t="s">
        <v>195</v>
      </c>
      <c r="C148" s="3" t="s">
        <v>19</v>
      </c>
      <c r="D148" s="3" t="s">
        <v>20</v>
      </c>
      <c r="E148" s="3" t="s">
        <v>187</v>
      </c>
      <c r="F148" s="4">
        <v>6.0</v>
      </c>
      <c r="G148" s="4">
        <v>6.0</v>
      </c>
      <c r="H148" s="5">
        <v>13973.580000000004</v>
      </c>
      <c r="I148" s="6">
        <v>180.0</v>
      </c>
      <c r="J148" s="6">
        <v>26.0</v>
      </c>
      <c r="K148" s="7">
        <v>0.1326530612244898</v>
      </c>
      <c r="L148" s="6">
        <v>196.0</v>
      </c>
      <c r="M148" s="6">
        <v>162.0</v>
      </c>
      <c r="N148" s="7">
        <v>0.826530612244898</v>
      </c>
      <c r="O148" s="8">
        <v>0.1957389698441611</v>
      </c>
      <c r="P148" s="3">
        <v>9.75</v>
      </c>
      <c r="Q148" s="7">
        <v>0.6153846153846154</v>
      </c>
      <c r="R148" s="9" t="str">
        <f>IFERROR(__xludf.DUMMYFUNCTION("FILTER('Extração 1'!C:C, 'Extração 1'!A:A = A148, 'Extração 1'!B:B = ""boarding"")"),"#REF!")</f>
        <v>#REF!</v>
      </c>
    </row>
    <row r="149">
      <c r="A149" s="3" t="s">
        <v>196</v>
      </c>
      <c r="C149" s="3" t="s">
        <v>19</v>
      </c>
      <c r="D149" s="3" t="s">
        <v>20</v>
      </c>
      <c r="E149" s="3" t="s">
        <v>187</v>
      </c>
      <c r="F149" s="4">
        <v>2.0</v>
      </c>
      <c r="G149" s="4">
        <v>2.0</v>
      </c>
      <c r="H149" s="5">
        <v>418.3</v>
      </c>
      <c r="I149" s="6">
        <v>4.0</v>
      </c>
      <c r="J149" s="6">
        <v>1.0</v>
      </c>
      <c r="K149" s="7">
        <v>0.25</v>
      </c>
      <c r="L149" s="6">
        <v>4.0</v>
      </c>
      <c r="M149" s="6">
        <v>3.0</v>
      </c>
      <c r="N149" s="7">
        <v>0.75</v>
      </c>
      <c r="O149" s="8">
        <v>0.21858024691358025</v>
      </c>
      <c r="Q149" s="7">
        <v>0.0</v>
      </c>
      <c r="R149" s="9" t="str">
        <f>IFERROR(__xludf.DUMMYFUNCTION("FILTER('Extração 1'!C:C, 'Extração 1'!A:A = A149, 'Extração 1'!B:B = ""boarding"")"),"#REF!")</f>
        <v>#REF!</v>
      </c>
    </row>
    <row r="150">
      <c r="A150" s="3" t="s">
        <v>197</v>
      </c>
      <c r="C150" s="3" t="s">
        <v>19</v>
      </c>
      <c r="D150" s="3" t="s">
        <v>20</v>
      </c>
      <c r="E150" s="3" t="s">
        <v>187</v>
      </c>
      <c r="F150" s="4">
        <v>5.0</v>
      </c>
      <c r="G150" s="4">
        <v>5.0</v>
      </c>
      <c r="H150" s="5">
        <v>14967.350000000002</v>
      </c>
      <c r="I150" s="6">
        <v>54.0</v>
      </c>
      <c r="J150" s="6">
        <v>27.0</v>
      </c>
      <c r="K150" s="7">
        <v>0.4090909090909091</v>
      </c>
      <c r="L150" s="6">
        <v>64.0</v>
      </c>
      <c r="M150" s="6">
        <v>63.0</v>
      </c>
      <c r="N150" s="7">
        <v>0.984375</v>
      </c>
      <c r="O150" s="8">
        <v>0.11705984601817936</v>
      </c>
      <c r="P150" s="3">
        <v>10.0</v>
      </c>
      <c r="Q150" s="7">
        <v>0.10714285714285714</v>
      </c>
      <c r="R150" s="9" t="str">
        <f>IFERROR(__xludf.DUMMYFUNCTION("FILTER('Extração 1'!C:C, 'Extração 1'!A:A = A150, 'Extração 1'!B:B = ""boarding"")"),"#REF!")</f>
        <v>#REF!</v>
      </c>
    </row>
    <row r="151">
      <c r="A151" s="3" t="s">
        <v>198</v>
      </c>
      <c r="C151" s="3" t="s">
        <v>19</v>
      </c>
      <c r="D151" s="3" t="s">
        <v>20</v>
      </c>
      <c r="E151" s="3" t="s">
        <v>187</v>
      </c>
      <c r="F151" s="4">
        <v>1.0</v>
      </c>
      <c r="G151" s="4">
        <v>1.0</v>
      </c>
      <c r="H151" s="5">
        <v>8981.16</v>
      </c>
      <c r="I151" s="6">
        <v>17.0</v>
      </c>
      <c r="J151" s="6">
        <v>9.0</v>
      </c>
      <c r="K151" s="7">
        <v>0.5</v>
      </c>
      <c r="L151" s="6">
        <v>15.0</v>
      </c>
      <c r="M151" s="6">
        <v>15.0</v>
      </c>
      <c r="N151" s="7">
        <v>1.0</v>
      </c>
      <c r="O151" s="8">
        <v>0.03516820987654321</v>
      </c>
      <c r="P151" s="3">
        <v>10.0</v>
      </c>
      <c r="Q151" s="7">
        <v>0.6666666666666666</v>
      </c>
      <c r="R151" s="9" t="str">
        <f>IFERROR(__xludf.DUMMYFUNCTION("FILTER('Extração 1'!C:C, 'Extração 1'!A:A = A151, 'Extração 1'!B:B = ""boarding"")"),"#REF!")</f>
        <v>#REF!</v>
      </c>
    </row>
    <row r="152">
      <c r="A152" s="3" t="s">
        <v>199</v>
      </c>
      <c r="C152" s="3" t="s">
        <v>19</v>
      </c>
      <c r="D152" s="3" t="s">
        <v>20</v>
      </c>
      <c r="E152" s="3" t="s">
        <v>187</v>
      </c>
      <c r="F152" s="4">
        <v>1.0</v>
      </c>
      <c r="G152" s="4">
        <v>1.0</v>
      </c>
      <c r="H152" s="5">
        <v>2516.0</v>
      </c>
      <c r="I152" s="6">
        <v>17.0</v>
      </c>
      <c r="J152" s="6">
        <v>2.0</v>
      </c>
      <c r="K152" s="7">
        <v>0.11764705882352941</v>
      </c>
      <c r="L152" s="6">
        <v>17.0</v>
      </c>
      <c r="M152" s="6">
        <v>17.0</v>
      </c>
      <c r="N152" s="7">
        <v>1.0</v>
      </c>
      <c r="O152" s="8">
        <v>0.3552859477124183</v>
      </c>
      <c r="P152" s="3">
        <v>10.0</v>
      </c>
      <c r="Q152" s="7">
        <v>1.0</v>
      </c>
      <c r="R152" s="9" t="str">
        <f>IFERROR(__xludf.DUMMYFUNCTION("FILTER('Extração 1'!C:C, 'Extração 1'!A:A = A152, 'Extração 1'!B:B = ""boarding"")"),"#REF!")</f>
        <v>#REF!</v>
      </c>
    </row>
    <row r="153">
      <c r="A153" s="3" t="s">
        <v>200</v>
      </c>
      <c r="C153" s="3" t="s">
        <v>19</v>
      </c>
      <c r="D153" s="3" t="s">
        <v>20</v>
      </c>
      <c r="E153" s="3" t="s">
        <v>201</v>
      </c>
      <c r="F153" s="4">
        <v>5.0</v>
      </c>
      <c r="G153" s="4">
        <v>5.0</v>
      </c>
      <c r="H153" s="5">
        <v>16876.560000000005</v>
      </c>
      <c r="I153" s="6">
        <v>143.0</v>
      </c>
      <c r="J153" s="6">
        <v>52.0</v>
      </c>
      <c r="K153" s="7">
        <v>0.3058823529411765</v>
      </c>
      <c r="L153" s="6">
        <v>163.0</v>
      </c>
      <c r="M153" s="6">
        <v>159.0</v>
      </c>
      <c r="N153" s="7">
        <v>0.9754601226993865</v>
      </c>
      <c r="O153" s="8">
        <v>0.04473212205916609</v>
      </c>
      <c r="P153" s="3">
        <v>9.969696969696969</v>
      </c>
      <c r="Q153" s="7">
        <v>0.6470588235294118</v>
      </c>
      <c r="R153" s="9" t="str">
        <f>IFERROR(__xludf.DUMMYFUNCTION("FILTER('Extração 1'!C:C, 'Extração 1'!A:A = A153, 'Extração 1'!B:B = ""boarding"")"),"#REF!")</f>
        <v>#REF!</v>
      </c>
    </row>
    <row r="154">
      <c r="A154" s="3" t="s">
        <v>202</v>
      </c>
      <c r="C154" s="3" t="s">
        <v>19</v>
      </c>
      <c r="D154" s="3" t="s">
        <v>20</v>
      </c>
      <c r="E154" s="3" t="s">
        <v>201</v>
      </c>
      <c r="F154" s="4">
        <v>3.0</v>
      </c>
      <c r="G154" s="4">
        <v>3.0</v>
      </c>
      <c r="H154" s="5">
        <v>95.2</v>
      </c>
      <c r="I154" s="6">
        <v>30.0</v>
      </c>
      <c r="J154" s="6">
        <v>1.0</v>
      </c>
      <c r="K154" s="7">
        <v>0.03125</v>
      </c>
      <c r="L154" s="6">
        <v>27.0</v>
      </c>
      <c r="M154" s="6">
        <v>21.0</v>
      </c>
      <c r="N154" s="7">
        <v>0.7777777777777778</v>
      </c>
      <c r="O154" s="8">
        <v>0.9303121693121694</v>
      </c>
      <c r="P154" s="3">
        <v>10.0</v>
      </c>
      <c r="Q154" s="7">
        <v>1.0</v>
      </c>
      <c r="R154" s="9" t="str">
        <f>IFERROR(__xludf.DUMMYFUNCTION("FILTER('Extração 1'!C:C, 'Extração 1'!A:A = A154, 'Extração 1'!B:B = ""boarding"")"),"#REF!")</f>
        <v>#REF!</v>
      </c>
    </row>
    <row r="155">
      <c r="A155" s="3" t="s">
        <v>203</v>
      </c>
      <c r="C155" s="3" t="s">
        <v>19</v>
      </c>
      <c r="D155" s="3" t="s">
        <v>20</v>
      </c>
      <c r="E155" s="3" t="s">
        <v>201</v>
      </c>
      <c r="F155" s="4">
        <v>2.0</v>
      </c>
      <c r="G155" s="4">
        <v>2.0</v>
      </c>
      <c r="H155" s="5">
        <v>0.0</v>
      </c>
      <c r="I155" s="6">
        <v>3.0</v>
      </c>
      <c r="J155" s="6">
        <v>0.0</v>
      </c>
      <c r="K155" s="7">
        <v>0.0</v>
      </c>
      <c r="L155" s="6">
        <v>3.0</v>
      </c>
      <c r="M155" s="6">
        <v>3.0</v>
      </c>
      <c r="N155" s="7">
        <v>1.0</v>
      </c>
      <c r="O155" s="8">
        <v>0.5503395061728396</v>
      </c>
      <c r="Q155" s="7"/>
      <c r="R155" s="9" t="str">
        <f>IFERROR(__xludf.DUMMYFUNCTION("FILTER('Extração 1'!C:C, 'Extração 1'!A:A = A155, 'Extração 1'!B:B = ""boarding"")"),"#REF!")</f>
        <v>#REF!</v>
      </c>
    </row>
    <row r="156">
      <c r="A156" s="3" t="s">
        <v>204</v>
      </c>
      <c r="C156" s="3" t="s">
        <v>19</v>
      </c>
      <c r="D156" s="3" t="s">
        <v>20</v>
      </c>
      <c r="E156" s="3" t="s">
        <v>205</v>
      </c>
      <c r="F156" s="4">
        <v>20.0</v>
      </c>
      <c r="G156" s="4">
        <v>20.0</v>
      </c>
      <c r="H156" s="5">
        <v>34036.81999999999</v>
      </c>
      <c r="I156" s="6">
        <v>151.0</v>
      </c>
      <c r="J156" s="6">
        <v>67.0</v>
      </c>
      <c r="K156" s="7">
        <v>0.38953488372093026</v>
      </c>
      <c r="L156" s="6">
        <v>163.0</v>
      </c>
      <c r="M156" s="6">
        <v>159.0</v>
      </c>
      <c r="N156" s="7">
        <v>0.9754601226993865</v>
      </c>
      <c r="O156" s="8">
        <v>0.3115419604853567</v>
      </c>
      <c r="P156" s="3">
        <v>9.909090909090908</v>
      </c>
      <c r="Q156" s="7">
        <v>0.15942028985507245</v>
      </c>
      <c r="R156" s="9" t="str">
        <f>IFERROR(__xludf.DUMMYFUNCTION("FILTER('Extração 1'!C:C, 'Extração 1'!A:A = A156, 'Extração 1'!B:B = ""boarding"")"),"#REF!")</f>
        <v>#REF!</v>
      </c>
    </row>
    <row r="157">
      <c r="A157" s="3" t="s">
        <v>206</v>
      </c>
      <c r="C157" s="3" t="s">
        <v>19</v>
      </c>
      <c r="D157" s="3" t="s">
        <v>20</v>
      </c>
      <c r="E157" s="3" t="s">
        <v>205</v>
      </c>
      <c r="F157" s="4">
        <v>3.0</v>
      </c>
      <c r="G157" s="4">
        <v>3.0</v>
      </c>
      <c r="H157" s="5">
        <v>0.0</v>
      </c>
      <c r="I157" s="6">
        <v>2.0</v>
      </c>
      <c r="J157" s="6">
        <v>0.0</v>
      </c>
      <c r="K157" s="7">
        <v>0.0</v>
      </c>
      <c r="L157" s="6">
        <v>2.0</v>
      </c>
      <c r="M157" s="6">
        <v>2.0</v>
      </c>
      <c r="N157" s="7">
        <v>1.0</v>
      </c>
      <c r="O157" s="8">
        <v>0.05215277777777778</v>
      </c>
      <c r="Q157" s="7"/>
      <c r="R157" s="9" t="str">
        <f>IFERROR(__xludf.DUMMYFUNCTION("FILTER('Extração 1'!C:C, 'Extração 1'!A:A = A157, 'Extração 1'!B:B = ""boarding"")"),"#REF!")</f>
        <v>#REF!</v>
      </c>
    </row>
    <row r="158">
      <c r="A158" s="3" t="s">
        <v>207</v>
      </c>
      <c r="C158" s="3" t="s">
        <v>19</v>
      </c>
      <c r="D158" s="3" t="s">
        <v>20</v>
      </c>
      <c r="E158" s="3" t="s">
        <v>208</v>
      </c>
      <c r="F158" s="4">
        <v>3.0</v>
      </c>
      <c r="G158" s="4">
        <v>3.0</v>
      </c>
      <c r="H158" s="5">
        <v>1743.3600000000001</v>
      </c>
      <c r="I158" s="6">
        <v>14.0</v>
      </c>
      <c r="J158" s="6">
        <v>4.0</v>
      </c>
      <c r="K158" s="7">
        <v>0.26666666666666666</v>
      </c>
      <c r="L158" s="6">
        <v>15.0</v>
      </c>
      <c r="M158" s="6">
        <v>15.0</v>
      </c>
      <c r="N158" s="7">
        <v>1.0</v>
      </c>
      <c r="O158" s="8">
        <v>4.830274928774929</v>
      </c>
      <c r="Q158" s="7">
        <v>0.0</v>
      </c>
      <c r="R158" s="9" t="str">
        <f>IFERROR(__xludf.DUMMYFUNCTION("FILTER('Extração 1'!C:C, 'Extração 1'!A:A = A158, 'Extração 1'!B:B = ""boarding"")"),"#REF!")</f>
        <v>#REF!</v>
      </c>
    </row>
    <row r="159">
      <c r="A159" s="3" t="s">
        <v>209</v>
      </c>
      <c r="C159" s="3" t="s">
        <v>19</v>
      </c>
      <c r="D159" s="3" t="s">
        <v>20</v>
      </c>
      <c r="E159" s="3" t="s">
        <v>208</v>
      </c>
      <c r="F159" s="4">
        <v>2.0</v>
      </c>
      <c r="G159" s="4">
        <v>2.0</v>
      </c>
      <c r="H159" s="5">
        <v>8903.099999999999</v>
      </c>
      <c r="I159" s="6">
        <v>64.0</v>
      </c>
      <c r="J159" s="6">
        <v>12.0</v>
      </c>
      <c r="K159" s="7">
        <v>0.16216216216216217</v>
      </c>
      <c r="L159" s="6">
        <v>68.0</v>
      </c>
      <c r="M159" s="6">
        <v>49.0</v>
      </c>
      <c r="N159" s="7">
        <v>0.7205882352941176</v>
      </c>
      <c r="O159" s="8">
        <v>1.0545400895400894</v>
      </c>
      <c r="P159" s="3">
        <v>9.75</v>
      </c>
      <c r="Q159" s="7">
        <v>0.36363636363636365</v>
      </c>
      <c r="R159" s="9" t="str">
        <f>IFERROR(__xludf.DUMMYFUNCTION("FILTER('Extração 1'!C:C, 'Extração 1'!A:A = A159, 'Extração 1'!B:B = ""boarding"")"),"#REF!")</f>
        <v>#REF!</v>
      </c>
    </row>
    <row r="160">
      <c r="A160" s="3" t="s">
        <v>210</v>
      </c>
      <c r="C160" s="3" t="s">
        <v>19</v>
      </c>
      <c r="D160" s="3" t="s">
        <v>20</v>
      </c>
      <c r="E160" s="3" t="s">
        <v>208</v>
      </c>
      <c r="F160" s="4">
        <v>2.0</v>
      </c>
      <c r="G160" s="4">
        <v>2.0</v>
      </c>
      <c r="H160" s="5">
        <v>0.0</v>
      </c>
      <c r="I160" s="6">
        <v>6.0</v>
      </c>
      <c r="J160" s="6">
        <v>0.0</v>
      </c>
      <c r="K160" s="7">
        <v>0.0</v>
      </c>
      <c r="L160" s="6">
        <v>6.0</v>
      </c>
      <c r="M160" s="6">
        <v>3.0</v>
      </c>
      <c r="N160" s="7">
        <v>0.5</v>
      </c>
      <c r="O160" s="8">
        <v>3.304969135802469</v>
      </c>
      <c r="Q160" s="7"/>
      <c r="R160" s="9" t="str">
        <f>IFERROR(__xludf.DUMMYFUNCTION("FILTER('Extração 1'!C:C, 'Extração 1'!A:A = A160, 'Extração 1'!B:B = ""boarding"")"),"#REF!")</f>
        <v>#REF!</v>
      </c>
    </row>
    <row r="161">
      <c r="A161" s="3" t="s">
        <v>211</v>
      </c>
      <c r="C161" s="3" t="s">
        <v>19</v>
      </c>
      <c r="D161" s="3" t="s">
        <v>20</v>
      </c>
      <c r="E161" s="3" t="s">
        <v>208</v>
      </c>
      <c r="F161" s="4">
        <v>4.0</v>
      </c>
      <c r="G161" s="4">
        <v>4.0</v>
      </c>
      <c r="H161" s="5">
        <v>0.0</v>
      </c>
      <c r="I161" s="6">
        <v>2.0</v>
      </c>
      <c r="J161" s="6">
        <v>0.0</v>
      </c>
      <c r="K161" s="7">
        <v>0.0</v>
      </c>
      <c r="L161" s="6">
        <v>0.0</v>
      </c>
      <c r="M161" s="6">
        <v>0.0</v>
      </c>
      <c r="N161" s="7"/>
      <c r="O161" s="8"/>
      <c r="Q161" s="7"/>
      <c r="R161" s="9" t="str">
        <f>IFERROR(__xludf.DUMMYFUNCTION("FILTER('Extração 1'!C:C, 'Extração 1'!A:A = A161, 'Extração 1'!B:B = ""boarding"")"),"#REF!")</f>
        <v>#REF!</v>
      </c>
    </row>
    <row r="162">
      <c r="A162" s="3" t="s">
        <v>212</v>
      </c>
      <c r="C162" s="3" t="s">
        <v>19</v>
      </c>
      <c r="D162" s="3" t="s">
        <v>20</v>
      </c>
      <c r="E162" s="3" t="s">
        <v>208</v>
      </c>
      <c r="F162" s="4">
        <v>2.0</v>
      </c>
      <c r="G162" s="4">
        <v>2.0</v>
      </c>
      <c r="H162" s="5">
        <v>7055.690000000001</v>
      </c>
      <c r="I162" s="6">
        <v>128.0</v>
      </c>
      <c r="J162" s="6">
        <v>24.0</v>
      </c>
      <c r="K162" s="7">
        <v>0.1702127659574468</v>
      </c>
      <c r="L162" s="6">
        <v>132.0</v>
      </c>
      <c r="M162" s="6">
        <v>131.0</v>
      </c>
      <c r="N162" s="7">
        <v>0.9924242424242424</v>
      </c>
      <c r="O162" s="8">
        <v>0.2550377884915852</v>
      </c>
      <c r="P162" s="3">
        <v>10.0</v>
      </c>
      <c r="Q162" s="7">
        <v>0.20833333333333334</v>
      </c>
      <c r="R162" s="9" t="str">
        <f>IFERROR(__xludf.DUMMYFUNCTION("FILTER('Extração 1'!C:C, 'Extração 1'!A:A = A162, 'Extração 1'!B:B = ""boarding"")"),"#REF!")</f>
        <v>#REF!</v>
      </c>
    </row>
    <row r="163">
      <c r="A163" s="3" t="s">
        <v>213</v>
      </c>
      <c r="C163" s="3" t="s">
        <v>19</v>
      </c>
      <c r="D163" s="3" t="s">
        <v>20</v>
      </c>
      <c r="E163" s="3" t="s">
        <v>214</v>
      </c>
      <c r="F163" s="4">
        <v>5.0</v>
      </c>
      <c r="G163" s="4">
        <v>5.0</v>
      </c>
      <c r="H163" s="5">
        <v>3906.5400000000004</v>
      </c>
      <c r="I163" s="6">
        <v>54.0</v>
      </c>
      <c r="J163" s="6">
        <v>19.0</v>
      </c>
      <c r="K163" s="7">
        <v>0.3275862068965517</v>
      </c>
      <c r="L163" s="6">
        <v>54.0</v>
      </c>
      <c r="M163" s="6">
        <v>53.0</v>
      </c>
      <c r="N163" s="7">
        <v>0.9814814814814815</v>
      </c>
      <c r="O163" s="8">
        <v>0.8844161202551407</v>
      </c>
      <c r="P163" s="3">
        <v>10.0</v>
      </c>
      <c r="Q163" s="7">
        <v>0.32</v>
      </c>
      <c r="R163" s="9" t="str">
        <f>IFERROR(__xludf.DUMMYFUNCTION("FILTER('Extração 1'!C:C, 'Extração 1'!A:A = A163, 'Extração 1'!B:B = ""boarding"")"),"#REF!")</f>
        <v>#REF!</v>
      </c>
    </row>
    <row r="164">
      <c r="A164" s="3" t="s">
        <v>215</v>
      </c>
      <c r="C164" s="3" t="s">
        <v>19</v>
      </c>
      <c r="D164" s="3" t="s">
        <v>20</v>
      </c>
      <c r="E164" s="3" t="s">
        <v>214</v>
      </c>
      <c r="F164" s="4">
        <v>3.0</v>
      </c>
      <c r="G164" s="4">
        <v>3.0</v>
      </c>
      <c r="H164" s="5">
        <v>0.0</v>
      </c>
      <c r="I164" s="6">
        <v>5.0</v>
      </c>
      <c r="J164" s="6">
        <v>0.0</v>
      </c>
      <c r="K164" s="7">
        <v>0.0</v>
      </c>
      <c r="L164" s="6">
        <v>4.0</v>
      </c>
      <c r="M164" s="6">
        <v>3.0</v>
      </c>
      <c r="N164" s="7">
        <v>0.75</v>
      </c>
      <c r="O164" s="8">
        <v>2.412638888888889</v>
      </c>
      <c r="Q164" s="7"/>
      <c r="R164" s="9" t="str">
        <f>IFERROR(__xludf.DUMMYFUNCTION("FILTER('Extração 1'!C:C, 'Extração 1'!A:A = A164, 'Extração 1'!B:B = ""boarding"")"),"#REF!")</f>
        <v>#REF!</v>
      </c>
    </row>
    <row r="165">
      <c r="A165" s="3" t="s">
        <v>216</v>
      </c>
      <c r="C165" s="3" t="s">
        <v>19</v>
      </c>
      <c r="D165" s="3" t="s">
        <v>20</v>
      </c>
      <c r="E165" s="3" t="s">
        <v>214</v>
      </c>
      <c r="F165" s="4">
        <v>3.0</v>
      </c>
      <c r="G165" s="4">
        <v>3.0</v>
      </c>
      <c r="H165" s="5">
        <v>405.08000000000004</v>
      </c>
      <c r="I165" s="6">
        <v>13.0</v>
      </c>
      <c r="J165" s="6">
        <v>3.0</v>
      </c>
      <c r="K165" s="7">
        <v>0.16666666666666666</v>
      </c>
      <c r="L165" s="6">
        <v>16.0</v>
      </c>
      <c r="M165" s="6">
        <v>16.0</v>
      </c>
      <c r="N165" s="7">
        <v>1.0</v>
      </c>
      <c r="O165" s="8">
        <v>0.8432682291666667</v>
      </c>
      <c r="P165" s="3">
        <v>10.0</v>
      </c>
      <c r="Q165" s="7">
        <v>0.6666666666666666</v>
      </c>
      <c r="R165" s="9" t="str">
        <f>IFERROR(__xludf.DUMMYFUNCTION("FILTER('Extração 1'!C:C, 'Extração 1'!A:A = A165, 'Extração 1'!B:B = ""boarding"")"),"#REF!")</f>
        <v>#REF!</v>
      </c>
    </row>
    <row r="166">
      <c r="A166" s="3" t="s">
        <v>217</v>
      </c>
      <c r="C166" s="3" t="s">
        <v>19</v>
      </c>
      <c r="D166" s="3" t="s">
        <v>20</v>
      </c>
      <c r="E166" s="3" t="s">
        <v>214</v>
      </c>
      <c r="F166" s="4">
        <v>4.0</v>
      </c>
      <c r="G166" s="4">
        <v>4.0</v>
      </c>
      <c r="H166" s="5">
        <v>896.0</v>
      </c>
      <c r="I166" s="6">
        <v>22.0</v>
      </c>
      <c r="J166" s="6">
        <v>3.0</v>
      </c>
      <c r="K166" s="7">
        <v>0.125</v>
      </c>
      <c r="L166" s="6">
        <v>24.0</v>
      </c>
      <c r="M166" s="6">
        <v>24.0</v>
      </c>
      <c r="N166" s="7">
        <v>1.0</v>
      </c>
      <c r="O166" s="8">
        <v>0.22463686342592593</v>
      </c>
      <c r="P166" s="3">
        <v>10.0</v>
      </c>
      <c r="Q166" s="7">
        <v>0.75</v>
      </c>
      <c r="R166" s="9" t="str">
        <f>IFERROR(__xludf.DUMMYFUNCTION("FILTER('Extração 1'!C:C, 'Extração 1'!A:A = A166, 'Extração 1'!B:B = ""boarding"")"),"#REF!")</f>
        <v>#REF!</v>
      </c>
    </row>
    <row r="167">
      <c r="A167" s="3" t="s">
        <v>218</v>
      </c>
      <c r="C167" s="3" t="s">
        <v>19</v>
      </c>
      <c r="D167" s="3" t="s">
        <v>20</v>
      </c>
      <c r="E167" s="3" t="s">
        <v>214</v>
      </c>
      <c r="F167" s="4">
        <v>3.0</v>
      </c>
      <c r="G167" s="4">
        <v>3.0</v>
      </c>
      <c r="H167" s="5">
        <v>0.0</v>
      </c>
      <c r="I167" s="6">
        <v>2.0</v>
      </c>
      <c r="J167" s="6">
        <v>0.0</v>
      </c>
      <c r="K167" s="7">
        <v>0.0</v>
      </c>
      <c r="L167" s="6">
        <v>2.0</v>
      </c>
      <c r="M167" s="6">
        <v>2.0</v>
      </c>
      <c r="N167" s="7">
        <v>1.0</v>
      </c>
      <c r="O167" s="8">
        <v>3.4611111111111112</v>
      </c>
      <c r="Q167" s="7"/>
      <c r="R167" s="9" t="str">
        <f>IFERROR(__xludf.DUMMYFUNCTION("FILTER('Extração 1'!C:C, 'Extração 1'!A:A = A167, 'Extração 1'!B:B = ""boarding"")"),"#REF!")</f>
        <v>#REF!</v>
      </c>
    </row>
    <row r="168">
      <c r="A168" s="3" t="s">
        <v>219</v>
      </c>
      <c r="C168" s="3" t="s">
        <v>19</v>
      </c>
      <c r="D168" s="3" t="s">
        <v>20</v>
      </c>
      <c r="E168" s="3" t="s">
        <v>214</v>
      </c>
      <c r="F168" s="4">
        <v>4.0</v>
      </c>
      <c r="G168" s="4">
        <v>4.0</v>
      </c>
      <c r="H168" s="5">
        <v>1014.4100000000001</v>
      </c>
      <c r="I168" s="6">
        <v>59.0</v>
      </c>
      <c r="J168" s="6">
        <v>4.0</v>
      </c>
      <c r="K168" s="7">
        <v>0.056338028169014086</v>
      </c>
      <c r="L168" s="6">
        <v>59.0</v>
      </c>
      <c r="M168" s="6">
        <v>57.0</v>
      </c>
      <c r="N168" s="7">
        <v>0.9661016949152542</v>
      </c>
      <c r="O168" s="8">
        <v>0.31330419509421703</v>
      </c>
      <c r="P168" s="3">
        <v>10.0</v>
      </c>
      <c r="Q168" s="7">
        <v>0.25</v>
      </c>
      <c r="R168" s="9" t="str">
        <f>IFERROR(__xludf.DUMMYFUNCTION("FILTER('Extração 1'!C:C, 'Extração 1'!A:A = A168, 'Extração 1'!B:B = ""boarding"")"),"#REF!")</f>
        <v>#REF!</v>
      </c>
    </row>
    <row r="169">
      <c r="A169" s="3" t="s">
        <v>220</v>
      </c>
      <c r="C169" s="3" t="s">
        <v>19</v>
      </c>
      <c r="D169" s="3" t="s">
        <v>20</v>
      </c>
      <c r="E169" s="3" t="s">
        <v>221</v>
      </c>
      <c r="F169" s="4">
        <v>10.0</v>
      </c>
      <c r="G169" s="4">
        <v>10.0</v>
      </c>
      <c r="H169" s="5">
        <v>31493.03000000001</v>
      </c>
      <c r="I169" s="6">
        <v>342.0</v>
      </c>
      <c r="J169" s="6">
        <v>113.0</v>
      </c>
      <c r="K169" s="7">
        <v>0.2817955112219451</v>
      </c>
      <c r="L169" s="6">
        <v>373.0</v>
      </c>
      <c r="M169" s="6">
        <v>350.0</v>
      </c>
      <c r="N169" s="7">
        <v>0.938337801608579</v>
      </c>
      <c r="O169" s="8">
        <v>0.14514126097366323</v>
      </c>
      <c r="P169" s="3">
        <v>9.166666666666666</v>
      </c>
      <c r="Q169" s="7">
        <v>0.09917355371900827</v>
      </c>
      <c r="R169" s="9" t="str">
        <f>IFERROR(__xludf.DUMMYFUNCTION("FILTER('Extração 1'!C:C, 'Extração 1'!A:A = A169, 'Extração 1'!B:B = ""boarding"")"),"#REF!")</f>
        <v>#REF!</v>
      </c>
    </row>
    <row r="170">
      <c r="A170" s="3" t="s">
        <v>222</v>
      </c>
      <c r="C170" s="3" t="s">
        <v>19</v>
      </c>
      <c r="D170" s="3" t="s">
        <v>20</v>
      </c>
      <c r="E170" s="3" t="s">
        <v>221</v>
      </c>
      <c r="F170" s="4">
        <v>4.0</v>
      </c>
      <c r="G170" s="4">
        <v>4.0</v>
      </c>
      <c r="H170" s="5">
        <v>13427.100000000002</v>
      </c>
      <c r="I170" s="6">
        <v>82.0</v>
      </c>
      <c r="J170" s="6">
        <v>21.0</v>
      </c>
      <c r="K170" s="7">
        <v>0.2</v>
      </c>
      <c r="L170" s="6">
        <v>88.0</v>
      </c>
      <c r="M170" s="6">
        <v>85.0</v>
      </c>
      <c r="N170" s="7">
        <v>0.9659090909090909</v>
      </c>
      <c r="O170" s="8">
        <v>1.6315713156230234</v>
      </c>
      <c r="P170" s="3">
        <v>10.0</v>
      </c>
      <c r="Q170" s="7">
        <v>0.22727272727272727</v>
      </c>
      <c r="R170" s="9" t="str">
        <f>IFERROR(__xludf.DUMMYFUNCTION("FILTER('Extração 1'!C:C, 'Extração 1'!A:A = A170, 'Extração 1'!B:B = ""boarding"")"),"#REF!")</f>
        <v>#REF!</v>
      </c>
    </row>
    <row r="171">
      <c r="A171" s="3" t="s">
        <v>223</v>
      </c>
      <c r="C171" s="3" t="s">
        <v>19</v>
      </c>
      <c r="D171" s="3" t="s">
        <v>20</v>
      </c>
      <c r="E171" s="3" t="s">
        <v>221</v>
      </c>
      <c r="F171" s="4"/>
      <c r="G171" s="4"/>
      <c r="H171" s="5">
        <v>0.0</v>
      </c>
      <c r="I171" s="6">
        <v>5.0</v>
      </c>
      <c r="J171" s="6">
        <v>0.0</v>
      </c>
      <c r="K171" s="7">
        <v>0.0</v>
      </c>
      <c r="L171" s="6">
        <v>2.0</v>
      </c>
      <c r="M171" s="6">
        <v>1.0</v>
      </c>
      <c r="N171" s="7">
        <v>0.5</v>
      </c>
      <c r="O171" s="8">
        <v>13.421666666666667</v>
      </c>
      <c r="Q171" s="7"/>
      <c r="R171" s="2">
        <v>30.0</v>
      </c>
    </row>
    <row r="172">
      <c r="A172" s="3" t="s">
        <v>224</v>
      </c>
      <c r="C172" s="3" t="s">
        <v>19</v>
      </c>
      <c r="D172" s="3" t="s">
        <v>20</v>
      </c>
      <c r="E172" s="3" t="s">
        <v>221</v>
      </c>
      <c r="F172" s="4">
        <v>2.0</v>
      </c>
      <c r="G172" s="4">
        <v>2.0</v>
      </c>
      <c r="H172" s="5">
        <v>672.0</v>
      </c>
      <c r="I172" s="6">
        <v>13.0</v>
      </c>
      <c r="J172" s="6">
        <v>1.0</v>
      </c>
      <c r="K172" s="7">
        <v>0.07692307692307693</v>
      </c>
      <c r="L172" s="6">
        <v>10.0</v>
      </c>
      <c r="M172" s="6">
        <v>9.0</v>
      </c>
      <c r="N172" s="7">
        <v>0.9</v>
      </c>
      <c r="O172" s="8">
        <v>1.5710322359396434</v>
      </c>
      <c r="Q172" s="7">
        <v>0.0</v>
      </c>
      <c r="R172" s="9" t="str">
        <f>IFERROR(__xludf.DUMMYFUNCTION("FILTER('Extração 1'!C:C, 'Extração 1'!A:A = A172, 'Extração 1'!B:B = ""boarding"")"),"#REF!")</f>
        <v>#REF!</v>
      </c>
    </row>
    <row r="173">
      <c r="A173" s="3" t="s">
        <v>225</v>
      </c>
      <c r="C173" s="3" t="s">
        <v>19</v>
      </c>
      <c r="D173" s="3" t="s">
        <v>20</v>
      </c>
      <c r="E173" s="3" t="s">
        <v>221</v>
      </c>
      <c r="F173" s="4">
        <v>2.0</v>
      </c>
      <c r="G173" s="4">
        <v>2.0</v>
      </c>
      <c r="H173" s="5">
        <v>0.0</v>
      </c>
      <c r="I173" s="6">
        <v>2.0</v>
      </c>
      <c r="J173" s="6">
        <v>0.0</v>
      </c>
      <c r="K173" s="7">
        <v>0.0</v>
      </c>
      <c r="L173" s="6">
        <v>0.0</v>
      </c>
      <c r="M173" s="6">
        <v>0.0</v>
      </c>
      <c r="N173" s="7"/>
      <c r="O173" s="8"/>
      <c r="Q173" s="7"/>
      <c r="R173" s="9" t="str">
        <f>IFERROR(__xludf.DUMMYFUNCTION("FILTER('Extração 1'!C:C, 'Extração 1'!A:A = A173, 'Extração 1'!B:B = ""boarding"")"),"#REF!")</f>
        <v>#REF!</v>
      </c>
    </row>
    <row r="174">
      <c r="A174" s="3" t="s">
        <v>226</v>
      </c>
      <c r="C174" s="3" t="s">
        <v>19</v>
      </c>
      <c r="D174" s="3" t="s">
        <v>20</v>
      </c>
      <c r="E174" s="3" t="s">
        <v>221</v>
      </c>
      <c r="F174" s="4">
        <v>4.0</v>
      </c>
      <c r="G174" s="4">
        <v>4.0</v>
      </c>
      <c r="H174" s="5">
        <v>6633.800000000001</v>
      </c>
      <c r="I174" s="6">
        <v>166.0</v>
      </c>
      <c r="J174" s="6">
        <v>16.0</v>
      </c>
      <c r="K174" s="7">
        <v>0.0851063829787234</v>
      </c>
      <c r="L174" s="6">
        <v>164.0</v>
      </c>
      <c r="M174" s="6">
        <v>160.0</v>
      </c>
      <c r="N174" s="7">
        <v>0.975609756097561</v>
      </c>
      <c r="O174" s="8">
        <v>0.0585060474537037</v>
      </c>
      <c r="P174" s="3">
        <v>10.0</v>
      </c>
      <c r="Q174" s="7">
        <v>0.5</v>
      </c>
      <c r="R174" s="9" t="str">
        <f>IFERROR(__xludf.DUMMYFUNCTION("FILTER('Extração 1'!C:C, 'Extração 1'!A:A = A174, 'Extração 1'!B:B = ""boarding"")"),"#REF!")</f>
        <v>#REF!</v>
      </c>
    </row>
    <row r="175">
      <c r="A175" s="3" t="s">
        <v>227</v>
      </c>
      <c r="C175" s="3" t="s">
        <v>19</v>
      </c>
      <c r="D175" s="3" t="s">
        <v>20</v>
      </c>
      <c r="E175" s="3" t="s">
        <v>221</v>
      </c>
      <c r="F175" s="4">
        <v>2.0</v>
      </c>
      <c r="G175" s="4">
        <v>2.0</v>
      </c>
      <c r="H175" s="5">
        <v>0.0</v>
      </c>
      <c r="I175" s="6">
        <v>2.0</v>
      </c>
      <c r="J175" s="6">
        <v>0.0</v>
      </c>
      <c r="K175" s="7">
        <v>0.0</v>
      </c>
      <c r="L175" s="6">
        <v>2.0</v>
      </c>
      <c r="M175" s="6">
        <v>0.0</v>
      </c>
      <c r="N175" s="7">
        <v>0.0</v>
      </c>
      <c r="O175" s="8"/>
      <c r="Q175" s="7"/>
      <c r="R175" s="9" t="str">
        <f>IFERROR(__xludf.DUMMYFUNCTION("FILTER('Extração 1'!C:C, 'Extração 1'!A:A = A175, 'Extração 1'!B:B = ""boarding"")"),"#REF!")</f>
        <v>#REF!</v>
      </c>
    </row>
    <row r="176">
      <c r="A176" s="3" t="s">
        <v>228</v>
      </c>
      <c r="C176" s="3" t="s">
        <v>19</v>
      </c>
      <c r="D176" s="3" t="s">
        <v>20</v>
      </c>
      <c r="E176" s="3" t="s">
        <v>221</v>
      </c>
      <c r="F176" s="4">
        <v>6.0</v>
      </c>
      <c r="G176" s="4">
        <v>6.0</v>
      </c>
      <c r="H176" s="5">
        <v>17103.799999999996</v>
      </c>
      <c r="I176" s="6">
        <v>290.0</v>
      </c>
      <c r="J176" s="6">
        <v>58.0</v>
      </c>
      <c r="K176" s="7">
        <v>0.16666666666666666</v>
      </c>
      <c r="L176" s="6">
        <v>306.0</v>
      </c>
      <c r="M176" s="6">
        <v>282.0</v>
      </c>
      <c r="N176" s="7">
        <v>0.9215686274509803</v>
      </c>
      <c r="O176" s="8">
        <v>0.10789309316569955</v>
      </c>
      <c r="P176" s="3">
        <v>10.0</v>
      </c>
      <c r="Q176" s="7">
        <v>0.22580645161290322</v>
      </c>
      <c r="R176" s="9" t="str">
        <f>IFERROR(__xludf.DUMMYFUNCTION("FILTER('Extração 1'!C:C, 'Extração 1'!A:A = A176, 'Extração 1'!B:B = ""boarding"")"),"#REF!")</f>
        <v>#REF!</v>
      </c>
    </row>
    <row r="177">
      <c r="A177" s="3" t="s">
        <v>229</v>
      </c>
      <c r="C177" s="3" t="s">
        <v>19</v>
      </c>
      <c r="D177" s="3" t="s">
        <v>20</v>
      </c>
      <c r="E177" s="3" t="s">
        <v>230</v>
      </c>
      <c r="F177" s="4">
        <v>40.0</v>
      </c>
      <c r="G177" s="4">
        <v>40.0</v>
      </c>
      <c r="H177" s="5">
        <v>101487.55999999994</v>
      </c>
      <c r="I177" s="6">
        <v>722.0</v>
      </c>
      <c r="J177" s="6">
        <v>294.0</v>
      </c>
      <c r="K177" s="7">
        <v>0.29518072289156627</v>
      </c>
      <c r="L177" s="6">
        <v>882.0</v>
      </c>
      <c r="M177" s="6">
        <v>864.0</v>
      </c>
      <c r="N177" s="7">
        <v>0.9795918367346939</v>
      </c>
      <c r="O177" s="8">
        <v>0.1741103987831147</v>
      </c>
      <c r="P177" s="3">
        <v>9.955882352941176</v>
      </c>
      <c r="Q177" s="7">
        <v>0.43312101910828027</v>
      </c>
      <c r="R177" s="9" t="str">
        <f>IFERROR(__xludf.DUMMYFUNCTION("FILTER('Extração 1'!C:C, 'Extração 1'!A:A = A177, 'Extração 1'!B:B = ""boarding"")"),"#REF!")</f>
        <v>#REF!</v>
      </c>
    </row>
    <row r="178">
      <c r="A178" s="3" t="s">
        <v>231</v>
      </c>
      <c r="C178" s="3" t="s">
        <v>19</v>
      </c>
      <c r="D178" s="3" t="s">
        <v>20</v>
      </c>
      <c r="E178" s="3" t="s">
        <v>230</v>
      </c>
      <c r="F178" s="4">
        <v>6.0</v>
      </c>
      <c r="G178" s="4">
        <v>6.0</v>
      </c>
      <c r="H178" s="5">
        <v>12969.520100000002</v>
      </c>
      <c r="I178" s="6">
        <v>90.0</v>
      </c>
      <c r="J178" s="6">
        <v>34.0</v>
      </c>
      <c r="K178" s="7">
        <v>0.2833333333333333</v>
      </c>
      <c r="L178" s="6">
        <v>81.0</v>
      </c>
      <c r="M178" s="6">
        <v>80.0</v>
      </c>
      <c r="N178" s="7">
        <v>0.9876543209876543</v>
      </c>
      <c r="O178" s="8">
        <v>1.0488284350198411</v>
      </c>
      <c r="P178" s="3">
        <v>10.0</v>
      </c>
      <c r="Q178" s="7">
        <v>0.17647058823529413</v>
      </c>
      <c r="R178" s="9" t="str">
        <f>IFERROR(__xludf.DUMMYFUNCTION("FILTER('Extração 1'!C:C, 'Extração 1'!A:A = A178, 'Extração 1'!B:B = ""boarding"")"),"#REF!")</f>
        <v>#REF!</v>
      </c>
    </row>
    <row r="179">
      <c r="A179" s="3" t="s">
        <v>232</v>
      </c>
      <c r="C179" s="3" t="s">
        <v>19</v>
      </c>
      <c r="D179" s="3" t="s">
        <v>20</v>
      </c>
      <c r="E179" s="3" t="s">
        <v>230</v>
      </c>
      <c r="F179" s="4">
        <v>8.0</v>
      </c>
      <c r="G179" s="4">
        <v>8.0</v>
      </c>
      <c r="H179" s="5">
        <v>7083.569999999999</v>
      </c>
      <c r="I179" s="6">
        <v>82.0</v>
      </c>
      <c r="J179" s="6">
        <v>27.0</v>
      </c>
      <c r="K179" s="7">
        <v>0.2755102040816326</v>
      </c>
      <c r="L179" s="6">
        <v>83.0</v>
      </c>
      <c r="M179" s="6">
        <v>81.0</v>
      </c>
      <c r="N179" s="7">
        <v>0.9759036144578314</v>
      </c>
      <c r="O179" s="8">
        <v>0.041874732081618654</v>
      </c>
      <c r="P179" s="3">
        <v>10.0</v>
      </c>
      <c r="Q179" s="7">
        <v>0.10714285714285714</v>
      </c>
      <c r="R179" s="9" t="str">
        <f>IFERROR(__xludf.DUMMYFUNCTION("FILTER('Extração 1'!C:C, 'Extração 1'!A:A = A179, 'Extração 1'!B:B = ""boarding"")"),"#REF!")</f>
        <v>#REF!</v>
      </c>
    </row>
    <row r="180">
      <c r="A180" s="3" t="s">
        <v>233</v>
      </c>
      <c r="C180" s="3" t="s">
        <v>19</v>
      </c>
      <c r="D180" s="3" t="s">
        <v>20</v>
      </c>
      <c r="E180" s="3" t="s">
        <v>230</v>
      </c>
      <c r="F180" s="4">
        <v>2.0</v>
      </c>
      <c r="G180" s="4">
        <v>2.0</v>
      </c>
      <c r="H180" s="5">
        <v>0.0</v>
      </c>
      <c r="I180" s="6">
        <v>11.0</v>
      </c>
      <c r="J180" s="6">
        <v>0.0</v>
      </c>
      <c r="K180" s="7">
        <v>0.0</v>
      </c>
      <c r="L180" s="6">
        <v>12.0</v>
      </c>
      <c r="M180" s="6">
        <v>7.0</v>
      </c>
      <c r="N180" s="7">
        <v>0.5833333333333334</v>
      </c>
      <c r="O180" s="8">
        <v>6.230456349206349</v>
      </c>
      <c r="Q180" s="7"/>
      <c r="R180" s="9" t="str">
        <f>IFERROR(__xludf.DUMMYFUNCTION("FILTER('Extração 1'!C:C, 'Extração 1'!A:A = A180, 'Extração 1'!B:B = ""boarding"")"),"#REF!")</f>
        <v>#REF!</v>
      </c>
    </row>
    <row r="181">
      <c r="A181" s="3" t="s">
        <v>234</v>
      </c>
      <c r="C181" s="3" t="s">
        <v>19</v>
      </c>
      <c r="D181" s="3" t="s">
        <v>20</v>
      </c>
      <c r="E181" s="3" t="s">
        <v>230</v>
      </c>
      <c r="F181" s="4">
        <v>2.0</v>
      </c>
      <c r="G181" s="4">
        <v>2.0</v>
      </c>
      <c r="H181" s="5">
        <v>0.0</v>
      </c>
      <c r="I181" s="6">
        <v>3.0</v>
      </c>
      <c r="J181" s="6">
        <v>0.0</v>
      </c>
      <c r="K181" s="7">
        <v>0.0</v>
      </c>
      <c r="L181" s="6">
        <v>3.0</v>
      </c>
      <c r="M181" s="6">
        <v>0.0</v>
      </c>
      <c r="N181" s="7">
        <v>0.0</v>
      </c>
      <c r="O181" s="8"/>
      <c r="Q181" s="7"/>
      <c r="R181" s="9" t="str">
        <f>IFERROR(__xludf.DUMMYFUNCTION("FILTER('Extração 1'!C:C, 'Extração 1'!A:A = A181, 'Extração 1'!B:B = ""boarding"")"),"#REF!")</f>
        <v>#REF!</v>
      </c>
    </row>
    <row r="182">
      <c r="A182" s="3" t="s">
        <v>235</v>
      </c>
      <c r="C182" s="3" t="s">
        <v>19</v>
      </c>
      <c r="D182" s="3" t="s">
        <v>20</v>
      </c>
      <c r="E182" s="3" t="s">
        <v>230</v>
      </c>
      <c r="F182" s="4">
        <v>6.0</v>
      </c>
      <c r="G182" s="4">
        <v>6.0</v>
      </c>
      <c r="H182" s="5">
        <v>1088.1</v>
      </c>
      <c r="I182" s="6">
        <v>10.0</v>
      </c>
      <c r="J182" s="6">
        <v>2.0</v>
      </c>
      <c r="K182" s="7">
        <v>0.16666666666666666</v>
      </c>
      <c r="L182" s="6">
        <v>8.0</v>
      </c>
      <c r="M182" s="6">
        <v>8.0</v>
      </c>
      <c r="N182" s="7">
        <v>1.0</v>
      </c>
      <c r="O182" s="8">
        <v>0.6765451388888889</v>
      </c>
      <c r="Q182" s="7">
        <v>0.0</v>
      </c>
      <c r="R182" s="9" t="str">
        <f>IFERROR(__xludf.DUMMYFUNCTION("FILTER('Extração 1'!C:C, 'Extração 1'!A:A = A182, 'Extração 1'!B:B = ""boarding"")"),"#REF!")</f>
        <v>#REF!</v>
      </c>
    </row>
    <row r="183">
      <c r="A183" s="3" t="s">
        <v>236</v>
      </c>
      <c r="C183" s="3" t="s">
        <v>19</v>
      </c>
      <c r="D183" s="3" t="s">
        <v>20</v>
      </c>
      <c r="E183" s="3" t="s">
        <v>230</v>
      </c>
      <c r="F183" s="4"/>
      <c r="G183" s="4"/>
      <c r="H183" s="5">
        <v>1889.04</v>
      </c>
      <c r="I183" s="6">
        <v>21.0</v>
      </c>
      <c r="J183" s="6">
        <v>6.0</v>
      </c>
      <c r="K183" s="7">
        <v>0.20689655172413793</v>
      </c>
      <c r="L183" s="6">
        <v>30.0</v>
      </c>
      <c r="M183" s="6">
        <v>30.0</v>
      </c>
      <c r="N183" s="7">
        <v>1.0</v>
      </c>
      <c r="O183" s="8">
        <v>1.2735726851851852</v>
      </c>
      <c r="P183" s="3">
        <v>10.0</v>
      </c>
      <c r="Q183" s="7">
        <v>0.6666666666666666</v>
      </c>
      <c r="R183" s="2">
        <v>45.0</v>
      </c>
    </row>
    <row r="184">
      <c r="A184" s="3" t="s">
        <v>237</v>
      </c>
      <c r="C184" s="3" t="s">
        <v>19</v>
      </c>
      <c r="D184" s="3" t="s">
        <v>20</v>
      </c>
      <c r="E184" s="3" t="s">
        <v>238</v>
      </c>
      <c r="F184" s="4">
        <v>4.0</v>
      </c>
      <c r="G184" s="4">
        <v>4.0</v>
      </c>
      <c r="H184" s="5">
        <v>11348.44</v>
      </c>
      <c r="I184" s="6">
        <v>134.0</v>
      </c>
      <c r="J184" s="6">
        <v>28.0</v>
      </c>
      <c r="K184" s="7">
        <v>0.175</v>
      </c>
      <c r="L184" s="6">
        <v>152.0</v>
      </c>
      <c r="M184" s="6">
        <v>136.0</v>
      </c>
      <c r="N184" s="7">
        <v>0.8947368421052632</v>
      </c>
      <c r="O184" s="8">
        <v>0.07233005702280912</v>
      </c>
      <c r="P184" s="3">
        <v>10.0</v>
      </c>
      <c r="Q184" s="7">
        <v>0.35714285714285715</v>
      </c>
      <c r="R184" s="9" t="str">
        <f>IFERROR(__xludf.DUMMYFUNCTION("FILTER('Extração 1'!C:C, 'Extração 1'!A:A = A184, 'Extração 1'!B:B = ""boarding"")"),"#REF!")</f>
        <v>#REF!</v>
      </c>
    </row>
    <row r="185">
      <c r="A185" s="3" t="s">
        <v>239</v>
      </c>
      <c r="C185" s="3" t="s">
        <v>19</v>
      </c>
      <c r="D185" s="3" t="s">
        <v>20</v>
      </c>
      <c r="E185" s="3" t="s">
        <v>238</v>
      </c>
      <c r="F185" s="4">
        <v>2.0</v>
      </c>
      <c r="G185" s="4">
        <v>2.0</v>
      </c>
      <c r="H185" s="5">
        <v>5067.770100000001</v>
      </c>
      <c r="I185" s="6">
        <v>54.0</v>
      </c>
      <c r="J185" s="6">
        <v>10.0</v>
      </c>
      <c r="K185" s="7">
        <v>0.1694915254237288</v>
      </c>
      <c r="L185" s="6">
        <v>55.0</v>
      </c>
      <c r="M185" s="6">
        <v>51.0</v>
      </c>
      <c r="N185" s="7">
        <v>0.9272727272727272</v>
      </c>
      <c r="O185" s="8">
        <v>0.3449149289345368</v>
      </c>
      <c r="P185" s="3">
        <v>10.0</v>
      </c>
      <c r="Q185" s="7">
        <v>0.3</v>
      </c>
      <c r="R185" s="9" t="str">
        <f>IFERROR(__xludf.DUMMYFUNCTION("FILTER('Extração 1'!C:C, 'Extração 1'!A:A = A185, 'Extração 1'!B:B = ""boarding"")"),"#REF!")</f>
        <v>#REF!</v>
      </c>
    </row>
    <row r="186">
      <c r="A186" s="3" t="s">
        <v>240</v>
      </c>
      <c r="C186" s="3" t="s">
        <v>19</v>
      </c>
      <c r="D186" s="3" t="s">
        <v>20</v>
      </c>
      <c r="E186" s="3" t="s">
        <v>238</v>
      </c>
      <c r="F186" s="4">
        <v>4.0</v>
      </c>
      <c r="G186" s="4">
        <v>4.0</v>
      </c>
      <c r="H186" s="5">
        <v>6905.3799</v>
      </c>
      <c r="I186" s="6">
        <v>108.0</v>
      </c>
      <c r="J186" s="6">
        <v>13.0</v>
      </c>
      <c r="K186" s="7">
        <v>0.10655737704918032</v>
      </c>
      <c r="L186" s="6">
        <v>109.0</v>
      </c>
      <c r="M186" s="6">
        <v>96.0</v>
      </c>
      <c r="N186" s="7">
        <v>0.8807339449541285</v>
      </c>
      <c r="O186" s="8">
        <v>0.28002360284391536</v>
      </c>
      <c r="P186" s="3">
        <v>10.0</v>
      </c>
      <c r="Q186" s="7">
        <v>0.15384615384615385</v>
      </c>
      <c r="R186" s="9" t="str">
        <f>IFERROR(__xludf.DUMMYFUNCTION("FILTER('Extração 1'!C:C, 'Extração 1'!A:A = A186, 'Extração 1'!B:B = ""boarding"")"),"#REF!")</f>
        <v>#REF!</v>
      </c>
    </row>
    <row r="187">
      <c r="A187" s="3" t="s">
        <v>241</v>
      </c>
      <c r="C187" s="3" t="s">
        <v>19</v>
      </c>
      <c r="D187" s="3" t="s">
        <v>20</v>
      </c>
      <c r="E187" s="3" t="s">
        <v>238</v>
      </c>
      <c r="F187" s="4">
        <v>10.0</v>
      </c>
      <c r="G187" s="4">
        <v>10.0</v>
      </c>
      <c r="H187" s="5">
        <v>22990.549999999996</v>
      </c>
      <c r="I187" s="6">
        <v>170.0</v>
      </c>
      <c r="J187" s="6">
        <v>63.0</v>
      </c>
      <c r="K187" s="7">
        <v>0.30288461538461536</v>
      </c>
      <c r="L187" s="6">
        <v>197.0</v>
      </c>
      <c r="M187" s="6">
        <v>184.0</v>
      </c>
      <c r="N187" s="7">
        <v>0.934010152284264</v>
      </c>
      <c r="O187" s="8">
        <v>0.33925838846880907</v>
      </c>
      <c r="P187" s="3">
        <v>9.857142857142858</v>
      </c>
      <c r="Q187" s="7">
        <v>0.2222222222222222</v>
      </c>
      <c r="R187" s="9" t="str">
        <f>IFERROR(__xludf.DUMMYFUNCTION("FILTER('Extração 1'!C:C, 'Extração 1'!A:A = A187, 'Extração 1'!B:B = ""boarding"")"),"#REF!")</f>
        <v>#REF!</v>
      </c>
    </row>
    <row r="188">
      <c r="A188" s="3" t="s">
        <v>242</v>
      </c>
      <c r="C188" s="3" t="s">
        <v>19</v>
      </c>
      <c r="D188" s="3" t="s">
        <v>20</v>
      </c>
      <c r="E188" s="3" t="s">
        <v>238</v>
      </c>
      <c r="F188" s="4">
        <v>1.0</v>
      </c>
      <c r="G188" s="4">
        <v>1.0</v>
      </c>
      <c r="H188" s="5">
        <v>2459.36</v>
      </c>
      <c r="I188" s="6">
        <v>48.0</v>
      </c>
      <c r="J188" s="6">
        <v>7.0</v>
      </c>
      <c r="K188" s="7">
        <v>0.1346153846153846</v>
      </c>
      <c r="L188" s="6">
        <v>40.0</v>
      </c>
      <c r="M188" s="6">
        <v>38.0</v>
      </c>
      <c r="N188" s="7">
        <v>0.95</v>
      </c>
      <c r="O188" s="8">
        <v>0.18806811951754385</v>
      </c>
      <c r="P188" s="3">
        <v>10.0</v>
      </c>
      <c r="Q188" s="7">
        <v>0.2</v>
      </c>
      <c r="R188" s="9" t="str">
        <f>IFERROR(__xludf.DUMMYFUNCTION("FILTER('Extração 1'!C:C, 'Extração 1'!A:A = A188, 'Extração 1'!B:B = ""boarding"")"),"#REF!")</f>
        <v>#REF!</v>
      </c>
    </row>
    <row r="189">
      <c r="A189" s="3" t="s">
        <v>243</v>
      </c>
      <c r="C189" s="3" t="s">
        <v>19</v>
      </c>
      <c r="D189" s="3" t="s">
        <v>20</v>
      </c>
      <c r="E189" s="3" t="s">
        <v>238</v>
      </c>
      <c r="F189" s="4">
        <v>2.0</v>
      </c>
      <c r="G189" s="4">
        <v>2.0</v>
      </c>
      <c r="H189" s="5">
        <v>23063.350099999996</v>
      </c>
      <c r="I189" s="6">
        <v>90.0</v>
      </c>
      <c r="J189" s="6">
        <v>42.0</v>
      </c>
      <c r="K189" s="7">
        <v>0.39622641509433965</v>
      </c>
      <c r="L189" s="6">
        <v>99.0</v>
      </c>
      <c r="M189" s="6">
        <v>99.0</v>
      </c>
      <c r="N189" s="7">
        <v>1.0</v>
      </c>
      <c r="O189" s="8">
        <v>0.5855032244847059</v>
      </c>
      <c r="P189" s="3">
        <v>10.0</v>
      </c>
      <c r="Q189" s="7">
        <v>0.11904761904761904</v>
      </c>
      <c r="R189" s="9" t="str">
        <f>IFERROR(__xludf.DUMMYFUNCTION("FILTER('Extração 1'!C:C, 'Extração 1'!A:A = A189, 'Extração 1'!B:B = ""boarding"")"),"#REF!")</f>
        <v>#REF!</v>
      </c>
    </row>
    <row r="190">
      <c r="A190" s="3" t="s">
        <v>244</v>
      </c>
      <c r="C190" s="3" t="s">
        <v>19</v>
      </c>
      <c r="D190" s="3" t="s">
        <v>20</v>
      </c>
      <c r="E190" s="3" t="s">
        <v>238</v>
      </c>
      <c r="F190" s="4">
        <v>2.0</v>
      </c>
      <c r="G190" s="4">
        <v>2.0</v>
      </c>
      <c r="H190" s="5">
        <v>2845.36</v>
      </c>
      <c r="I190" s="6">
        <v>40.0</v>
      </c>
      <c r="J190" s="6">
        <v>6.0</v>
      </c>
      <c r="K190" s="7">
        <v>0.14285714285714285</v>
      </c>
      <c r="L190" s="6">
        <v>42.0</v>
      </c>
      <c r="M190" s="6">
        <v>42.0</v>
      </c>
      <c r="N190" s="7">
        <v>1.0</v>
      </c>
      <c r="O190" s="8">
        <v>0.11320417055711172</v>
      </c>
      <c r="P190" s="3">
        <v>10.0</v>
      </c>
      <c r="Q190" s="7">
        <v>0.3333333333333333</v>
      </c>
      <c r="R190" s="9" t="str">
        <f>IFERROR(__xludf.DUMMYFUNCTION("FILTER('Extração 1'!C:C, 'Extração 1'!A:A = A190, 'Extração 1'!B:B = ""boarding"")"),"#REF!")</f>
        <v>#REF!</v>
      </c>
    </row>
    <row r="191">
      <c r="A191" s="3" t="s">
        <v>245</v>
      </c>
      <c r="C191" s="3" t="s">
        <v>19</v>
      </c>
      <c r="D191" s="3" t="s">
        <v>20</v>
      </c>
      <c r="E191" s="3" t="s">
        <v>238</v>
      </c>
      <c r="F191" s="4">
        <v>8.0</v>
      </c>
      <c r="G191" s="4">
        <v>8.0</v>
      </c>
      <c r="H191" s="5">
        <v>32416.040000000008</v>
      </c>
      <c r="I191" s="6">
        <v>220.0</v>
      </c>
      <c r="J191" s="6">
        <v>68.0</v>
      </c>
      <c r="K191" s="7">
        <v>0.25757575757575757</v>
      </c>
      <c r="L191" s="6">
        <v>247.0</v>
      </c>
      <c r="M191" s="6">
        <v>237.0</v>
      </c>
      <c r="N191" s="7">
        <v>0.9595141700404858</v>
      </c>
      <c r="O191" s="8">
        <v>0.15580855732666565</v>
      </c>
      <c r="P191" s="3">
        <v>10.0</v>
      </c>
      <c r="Q191" s="7">
        <v>0.15714285714285714</v>
      </c>
      <c r="R191" s="9" t="str">
        <f>IFERROR(__xludf.DUMMYFUNCTION("FILTER('Extração 1'!C:C, 'Extração 1'!A:A = A191, 'Extração 1'!B:B = ""boarding"")"),"#REF!")</f>
        <v>#REF!</v>
      </c>
    </row>
    <row r="192">
      <c r="A192" s="3" t="s">
        <v>246</v>
      </c>
      <c r="C192" s="3" t="s">
        <v>19</v>
      </c>
      <c r="D192" s="3" t="s">
        <v>20</v>
      </c>
      <c r="E192" s="3" t="s">
        <v>238</v>
      </c>
      <c r="F192" s="4">
        <v>4.0</v>
      </c>
      <c r="G192" s="4">
        <v>4.0</v>
      </c>
      <c r="H192" s="5">
        <v>3675.2</v>
      </c>
      <c r="I192" s="6">
        <v>42.0</v>
      </c>
      <c r="J192" s="6">
        <v>4.0</v>
      </c>
      <c r="K192" s="7">
        <v>0.07142857142857142</v>
      </c>
      <c r="L192" s="6">
        <v>46.0</v>
      </c>
      <c r="M192" s="6">
        <v>44.0</v>
      </c>
      <c r="N192" s="7">
        <v>0.9565217391304348</v>
      </c>
      <c r="O192" s="8">
        <v>0.07489527629233513</v>
      </c>
      <c r="P192" s="3">
        <v>10.0</v>
      </c>
      <c r="Q192" s="7">
        <v>0.3333333333333333</v>
      </c>
      <c r="R192" s="9" t="str">
        <f>IFERROR(__xludf.DUMMYFUNCTION("FILTER('Extração 1'!C:C, 'Extração 1'!A:A = A192, 'Extração 1'!B:B = ""boarding"")"),"#REF!")</f>
        <v>#REF!</v>
      </c>
    </row>
    <row r="193">
      <c r="A193" s="3" t="s">
        <v>247</v>
      </c>
      <c r="C193" s="3" t="s">
        <v>19</v>
      </c>
      <c r="D193" s="3" t="s">
        <v>20</v>
      </c>
      <c r="E193" s="3" t="s">
        <v>238</v>
      </c>
      <c r="F193" s="4">
        <v>3.0</v>
      </c>
      <c r="G193" s="4">
        <v>3.0</v>
      </c>
      <c r="H193" s="5">
        <v>0.0</v>
      </c>
      <c r="I193" s="6">
        <v>3.0</v>
      </c>
      <c r="J193" s="6">
        <v>0.0</v>
      </c>
      <c r="K193" s="7">
        <v>0.0</v>
      </c>
      <c r="L193" s="6">
        <v>3.0</v>
      </c>
      <c r="M193" s="6">
        <v>0.0</v>
      </c>
      <c r="N193" s="7">
        <v>0.0</v>
      </c>
      <c r="O193" s="8"/>
      <c r="Q193" s="7"/>
      <c r="R193" s="9" t="str">
        <f>IFERROR(__xludf.DUMMYFUNCTION("FILTER('Extração 1'!C:C, 'Extração 1'!A:A = A193, 'Extração 1'!B:B = ""boarding"")"),"#REF!")</f>
        <v>#REF!</v>
      </c>
    </row>
    <row r="194">
      <c r="A194" s="3" t="s">
        <v>248</v>
      </c>
      <c r="B194" s="3" t="s">
        <v>68</v>
      </c>
      <c r="C194" s="3" t="s">
        <v>19</v>
      </c>
      <c r="D194" s="3" t="s">
        <v>20</v>
      </c>
      <c r="E194" s="3" t="s">
        <v>249</v>
      </c>
      <c r="F194" s="4">
        <v>1.0</v>
      </c>
      <c r="G194" s="4">
        <v>1.0</v>
      </c>
      <c r="H194" s="5">
        <v>3533.34</v>
      </c>
      <c r="I194" s="6">
        <v>44.0</v>
      </c>
      <c r="J194" s="6">
        <v>7.0</v>
      </c>
      <c r="K194" s="7">
        <v>0.15555555555555556</v>
      </c>
      <c r="L194" s="6">
        <v>44.0</v>
      </c>
      <c r="M194" s="6">
        <v>41.0</v>
      </c>
      <c r="N194" s="7">
        <v>0.9318181818181818</v>
      </c>
      <c r="O194" s="8">
        <v>0.39564711052515933</v>
      </c>
      <c r="P194" s="3">
        <v>10.0</v>
      </c>
      <c r="Q194" s="7">
        <v>0.75</v>
      </c>
      <c r="R194" s="9" t="str">
        <f>IFERROR(__xludf.DUMMYFUNCTION("FILTER('Extração 1'!C:C, 'Extração 1'!A:A = A194, 'Extração 1'!B:B = ""boarding"")"),"#REF!")</f>
        <v>#REF!</v>
      </c>
    </row>
    <row r="195">
      <c r="A195" s="3" t="s">
        <v>250</v>
      </c>
      <c r="C195" s="3" t="s">
        <v>19</v>
      </c>
      <c r="D195" s="3" t="s">
        <v>20</v>
      </c>
      <c r="E195" s="3" t="s">
        <v>249</v>
      </c>
      <c r="F195" s="4"/>
      <c r="G195" s="4"/>
      <c r="H195" s="5">
        <v>2673.87</v>
      </c>
      <c r="I195" s="6">
        <v>12.0</v>
      </c>
      <c r="J195" s="6">
        <v>6.0</v>
      </c>
      <c r="K195" s="7">
        <v>0.46153846153846156</v>
      </c>
      <c r="L195" s="6">
        <v>13.0</v>
      </c>
      <c r="M195" s="6">
        <v>13.0</v>
      </c>
      <c r="N195" s="7">
        <v>1.0</v>
      </c>
      <c r="O195" s="8">
        <v>0.07813390313390313</v>
      </c>
      <c r="P195" s="3">
        <v>10.0</v>
      </c>
      <c r="Q195" s="7">
        <v>0.5</v>
      </c>
      <c r="R195" s="2">
        <v>60.0</v>
      </c>
    </row>
    <row r="196">
      <c r="A196" s="3" t="s">
        <v>251</v>
      </c>
      <c r="C196" s="3" t="s">
        <v>19</v>
      </c>
      <c r="D196" s="3" t="s">
        <v>20</v>
      </c>
      <c r="E196" s="3" t="s">
        <v>249</v>
      </c>
      <c r="F196" s="4">
        <v>1.0</v>
      </c>
      <c r="G196" s="4">
        <v>1.0</v>
      </c>
      <c r="H196" s="5">
        <v>9226.130000000001</v>
      </c>
      <c r="I196" s="6">
        <v>85.0</v>
      </c>
      <c r="J196" s="6">
        <v>24.0</v>
      </c>
      <c r="K196" s="7">
        <v>0.2222222222222222</v>
      </c>
      <c r="L196" s="6">
        <v>100.0</v>
      </c>
      <c r="M196" s="6">
        <v>99.0</v>
      </c>
      <c r="N196" s="7">
        <v>0.99</v>
      </c>
      <c r="O196" s="8">
        <v>0.3641071578136255</v>
      </c>
      <c r="P196" s="3">
        <v>10.0</v>
      </c>
      <c r="Q196" s="7">
        <v>0.25</v>
      </c>
      <c r="R196" s="9" t="str">
        <f>IFERROR(__xludf.DUMMYFUNCTION("FILTER('Extração 1'!C:C, 'Extração 1'!A:A = A196, 'Extração 1'!B:B = ""boarding"")"),"#REF!")</f>
        <v>#REF!</v>
      </c>
    </row>
    <row r="197">
      <c r="A197" s="3" t="s">
        <v>252</v>
      </c>
      <c r="C197" s="3" t="s">
        <v>19</v>
      </c>
      <c r="D197" s="3" t="s">
        <v>20</v>
      </c>
      <c r="E197" s="3" t="s">
        <v>249</v>
      </c>
      <c r="F197" s="4"/>
      <c r="G197" s="4"/>
      <c r="H197" s="5">
        <v>4531.2</v>
      </c>
      <c r="I197" s="6">
        <v>32.0</v>
      </c>
      <c r="J197" s="6">
        <v>11.0</v>
      </c>
      <c r="K197" s="7">
        <v>0.3142857142857143</v>
      </c>
      <c r="L197" s="6">
        <v>67.0</v>
      </c>
      <c r="M197" s="6">
        <v>65.0</v>
      </c>
      <c r="N197" s="7">
        <v>0.9701492537313433</v>
      </c>
      <c r="O197" s="8">
        <v>1.5599705603038936</v>
      </c>
      <c r="P197" s="3">
        <v>9.8</v>
      </c>
      <c r="Q197" s="7">
        <v>0.45454545454545453</v>
      </c>
      <c r="R197" s="2">
        <v>75.0</v>
      </c>
    </row>
    <row r="198">
      <c r="A198" s="3" t="s">
        <v>253</v>
      </c>
      <c r="C198" s="3" t="s">
        <v>19</v>
      </c>
      <c r="D198" s="3" t="s">
        <v>20</v>
      </c>
      <c r="E198" s="3" t="s">
        <v>249</v>
      </c>
      <c r="F198" s="4">
        <v>3.0</v>
      </c>
      <c r="G198" s="4">
        <v>3.0</v>
      </c>
      <c r="H198" s="5">
        <v>16489.089999999997</v>
      </c>
      <c r="I198" s="6">
        <v>46.0</v>
      </c>
      <c r="J198" s="6">
        <v>22.0</v>
      </c>
      <c r="K198" s="7">
        <v>0.3728813559322034</v>
      </c>
      <c r="L198" s="6">
        <v>57.0</v>
      </c>
      <c r="M198" s="6">
        <v>57.0</v>
      </c>
      <c r="N198" s="7">
        <v>1.0</v>
      </c>
      <c r="O198" s="8">
        <v>0.07275584795321638</v>
      </c>
      <c r="P198" s="3">
        <v>10.0</v>
      </c>
      <c r="Q198" s="7">
        <v>0.3181818181818182</v>
      </c>
      <c r="R198" s="9" t="str">
        <f>IFERROR(__xludf.DUMMYFUNCTION("FILTER('Extração 1'!C:C, 'Extração 1'!A:A = A198, 'Extração 1'!B:B = ""boarding"")"),"#REF!")</f>
        <v>#REF!</v>
      </c>
    </row>
    <row r="199">
      <c r="A199" s="3" t="s">
        <v>254</v>
      </c>
      <c r="C199" s="3" t="s">
        <v>19</v>
      </c>
      <c r="D199" s="3" t="s">
        <v>20</v>
      </c>
      <c r="E199" s="3" t="s">
        <v>249</v>
      </c>
      <c r="F199" s="4">
        <v>6.0</v>
      </c>
      <c r="G199" s="4">
        <v>6.0</v>
      </c>
      <c r="H199" s="5">
        <v>41596.13990000001</v>
      </c>
      <c r="I199" s="6">
        <v>230.0</v>
      </c>
      <c r="J199" s="6">
        <v>97.0</v>
      </c>
      <c r="K199" s="7">
        <v>0.3592592592592593</v>
      </c>
      <c r="L199" s="6">
        <v>253.0</v>
      </c>
      <c r="M199" s="6">
        <v>252.0</v>
      </c>
      <c r="N199" s="7">
        <v>0.9960474308300395</v>
      </c>
      <c r="O199" s="8">
        <v>0.0414013391443947</v>
      </c>
      <c r="P199" s="3">
        <v>10.0</v>
      </c>
      <c r="Q199" s="7">
        <v>0.26</v>
      </c>
      <c r="R199" s="9" t="str">
        <f>IFERROR(__xludf.DUMMYFUNCTION("FILTER('Extração 1'!C:C, 'Extração 1'!A:A = A199, 'Extração 1'!B:B = ""boarding"")"),"#REF!")</f>
        <v>#REF!</v>
      </c>
    </row>
    <row r="200">
      <c r="A200" s="3" t="s">
        <v>255</v>
      </c>
      <c r="C200" s="3" t="s">
        <v>19</v>
      </c>
      <c r="D200" s="3" t="s">
        <v>20</v>
      </c>
      <c r="E200" s="3" t="s">
        <v>249</v>
      </c>
      <c r="F200" s="4">
        <v>2.0</v>
      </c>
      <c r="G200" s="4">
        <v>2.0</v>
      </c>
      <c r="H200" s="5">
        <v>2452.75</v>
      </c>
      <c r="I200" s="6">
        <v>24.0</v>
      </c>
      <c r="J200" s="6">
        <v>6.0</v>
      </c>
      <c r="K200" s="7">
        <v>0.2222222222222222</v>
      </c>
      <c r="L200" s="6">
        <v>25.0</v>
      </c>
      <c r="M200" s="6">
        <v>24.0</v>
      </c>
      <c r="N200" s="7">
        <v>0.96</v>
      </c>
      <c r="O200" s="8">
        <v>3.7783779761904763</v>
      </c>
      <c r="P200" s="3">
        <v>10.0</v>
      </c>
      <c r="Q200" s="7">
        <v>0.5714285714285714</v>
      </c>
      <c r="R200" s="9" t="str">
        <f>IFERROR(__xludf.DUMMYFUNCTION("FILTER('Extração 1'!C:C, 'Extração 1'!A:A = A200, 'Extração 1'!B:B = ""boarding"")"),"#REF!")</f>
        <v>#REF!</v>
      </c>
    </row>
    <row r="201">
      <c r="A201" s="3" t="s">
        <v>256</v>
      </c>
      <c r="C201" s="3" t="s">
        <v>19</v>
      </c>
      <c r="D201" s="3" t="s">
        <v>20</v>
      </c>
      <c r="E201" s="3" t="s">
        <v>249</v>
      </c>
      <c r="F201" s="4">
        <v>4.0</v>
      </c>
      <c r="G201" s="4">
        <v>4.0</v>
      </c>
      <c r="H201" s="5">
        <v>18175.779999999995</v>
      </c>
      <c r="I201" s="6">
        <v>196.0</v>
      </c>
      <c r="J201" s="6">
        <v>38.0</v>
      </c>
      <c r="K201" s="7">
        <v>0.168141592920354</v>
      </c>
      <c r="L201" s="6">
        <v>210.0</v>
      </c>
      <c r="M201" s="6">
        <v>192.0</v>
      </c>
      <c r="N201" s="7">
        <v>0.9142857142857143</v>
      </c>
      <c r="O201" s="8">
        <v>0.696059585813492</v>
      </c>
      <c r="P201" s="3">
        <v>10.0</v>
      </c>
      <c r="Q201" s="7">
        <v>0.4</v>
      </c>
      <c r="R201" s="9" t="str">
        <f>IFERROR(__xludf.DUMMYFUNCTION("FILTER('Extração 1'!C:C, 'Extração 1'!A:A = A201, 'Extração 1'!B:B = ""boarding"")"),"#REF!")</f>
        <v>#REF!</v>
      </c>
    </row>
    <row r="202">
      <c r="A202" s="3" t="s">
        <v>257</v>
      </c>
      <c r="C202" s="3" t="s">
        <v>19</v>
      </c>
      <c r="D202" s="3" t="s">
        <v>20</v>
      </c>
      <c r="E202" s="3" t="s">
        <v>249</v>
      </c>
      <c r="F202" s="4">
        <v>10.0</v>
      </c>
      <c r="G202" s="4">
        <v>10.0</v>
      </c>
      <c r="H202" s="5">
        <v>24774.35980000001</v>
      </c>
      <c r="I202" s="6">
        <v>118.0</v>
      </c>
      <c r="J202" s="6">
        <v>36.0</v>
      </c>
      <c r="K202" s="7">
        <v>0.26865671641791045</v>
      </c>
      <c r="L202" s="6">
        <v>134.0</v>
      </c>
      <c r="M202" s="6">
        <v>134.0</v>
      </c>
      <c r="N202" s="7">
        <v>1.0</v>
      </c>
      <c r="O202" s="8">
        <v>0.06360249192633324</v>
      </c>
      <c r="P202" s="3">
        <v>9.5</v>
      </c>
      <c r="Q202" s="7">
        <v>0.18181818181818182</v>
      </c>
      <c r="R202" s="9" t="str">
        <f>IFERROR(__xludf.DUMMYFUNCTION("FILTER('Extração 1'!C:C, 'Extração 1'!A:A = A202, 'Extração 1'!B:B = ""boarding"")"),"#REF!")</f>
        <v>#REF!</v>
      </c>
    </row>
    <row r="203">
      <c r="A203" s="3" t="s">
        <v>258</v>
      </c>
      <c r="C203" s="3" t="s">
        <v>19</v>
      </c>
      <c r="D203" s="3" t="s">
        <v>20</v>
      </c>
      <c r="E203" s="3" t="s">
        <v>249</v>
      </c>
      <c r="F203" s="4">
        <v>2.0</v>
      </c>
      <c r="G203" s="4">
        <v>2.0</v>
      </c>
      <c r="H203" s="5">
        <v>822.3599999999999</v>
      </c>
      <c r="I203" s="6">
        <v>30.0</v>
      </c>
      <c r="J203" s="6">
        <v>4.0</v>
      </c>
      <c r="K203" s="7">
        <v>0.12903225806451613</v>
      </c>
      <c r="L203" s="6">
        <v>31.0</v>
      </c>
      <c r="M203" s="6">
        <v>29.0</v>
      </c>
      <c r="N203" s="7">
        <v>0.9354838709677419</v>
      </c>
      <c r="O203" s="8">
        <v>0.2471007662835249</v>
      </c>
      <c r="P203" s="3">
        <v>10.0</v>
      </c>
      <c r="Q203" s="7">
        <v>0.5</v>
      </c>
      <c r="R203" s="9" t="str">
        <f>IFERROR(__xludf.DUMMYFUNCTION("FILTER('Extração 1'!C:C, 'Extração 1'!A:A = A203, 'Extração 1'!B:B = ""boarding"")"),"#REF!")</f>
        <v>#REF!</v>
      </c>
    </row>
    <row r="204">
      <c r="A204" s="3" t="s">
        <v>259</v>
      </c>
      <c r="C204" s="3" t="s">
        <v>19</v>
      </c>
      <c r="D204" s="3" t="s">
        <v>20</v>
      </c>
      <c r="E204" s="3" t="s">
        <v>249</v>
      </c>
      <c r="F204" s="4"/>
      <c r="G204" s="4"/>
      <c r="H204" s="5">
        <v>10874.64</v>
      </c>
      <c r="I204" s="6">
        <v>63.0</v>
      </c>
      <c r="J204" s="6">
        <v>23.0</v>
      </c>
      <c r="K204" s="7">
        <v>0.2839506172839506</v>
      </c>
      <c r="L204" s="6">
        <v>78.0</v>
      </c>
      <c r="M204" s="6">
        <v>78.0</v>
      </c>
      <c r="N204" s="7">
        <v>1.0</v>
      </c>
      <c r="O204" s="8">
        <v>1.0559834783272284</v>
      </c>
      <c r="P204" s="3">
        <v>9.8125</v>
      </c>
      <c r="Q204" s="7">
        <v>0.5925925925925926</v>
      </c>
      <c r="R204" s="9" t="str">
        <f>IFERROR(__xludf.DUMMYFUNCTION("FILTER('Extração 1'!C:C, 'Extração 1'!A:A = A204, 'Extração 1'!B:B = ""boarding"")"),"#REF!")</f>
        <v>#REF!</v>
      </c>
    </row>
    <row r="205">
      <c r="A205" s="3" t="s">
        <v>260</v>
      </c>
      <c r="C205" s="3" t="s">
        <v>19</v>
      </c>
      <c r="D205" s="3" t="s">
        <v>20</v>
      </c>
      <c r="E205" s="3" t="s">
        <v>261</v>
      </c>
      <c r="F205" s="4">
        <v>3.0</v>
      </c>
      <c r="G205" s="4">
        <v>3.0</v>
      </c>
      <c r="H205" s="5">
        <v>1851.8</v>
      </c>
      <c r="I205" s="6">
        <v>25.0</v>
      </c>
      <c r="J205" s="6">
        <v>3.0</v>
      </c>
      <c r="K205" s="7">
        <v>0.10344827586206896</v>
      </c>
      <c r="L205" s="6">
        <v>21.0</v>
      </c>
      <c r="M205" s="6">
        <v>19.0</v>
      </c>
      <c r="N205" s="7">
        <v>0.9047619047619048</v>
      </c>
      <c r="O205" s="8">
        <v>17.635739766081873</v>
      </c>
      <c r="P205" s="3">
        <v>10.0</v>
      </c>
      <c r="Q205" s="7">
        <v>1.0</v>
      </c>
      <c r="R205" s="9" t="str">
        <f>IFERROR(__xludf.DUMMYFUNCTION("FILTER('Extração 1'!C:C, 'Extração 1'!A:A = A205, 'Extração 1'!B:B = ""boarding"")"),"#REF!")</f>
        <v>#REF!</v>
      </c>
    </row>
    <row r="206">
      <c r="A206" s="3" t="s">
        <v>262</v>
      </c>
      <c r="B206" s="3" t="s">
        <v>55</v>
      </c>
      <c r="C206" s="3" t="s">
        <v>19</v>
      </c>
      <c r="D206" s="3" t="s">
        <v>20</v>
      </c>
      <c r="E206" s="3" t="s">
        <v>261</v>
      </c>
      <c r="F206" s="4">
        <v>6.0</v>
      </c>
      <c r="G206" s="4">
        <v>6.0</v>
      </c>
      <c r="H206" s="5">
        <v>23976.44000000001</v>
      </c>
      <c r="I206" s="6">
        <v>327.0</v>
      </c>
      <c r="J206" s="6">
        <v>87.0</v>
      </c>
      <c r="K206" s="7">
        <v>0.22137404580152673</v>
      </c>
      <c r="L206" s="6">
        <v>361.0</v>
      </c>
      <c r="M206" s="6">
        <v>354.0</v>
      </c>
      <c r="N206" s="7">
        <v>0.9806094182825484</v>
      </c>
      <c r="O206" s="8">
        <v>0.13210738303214864</v>
      </c>
      <c r="P206" s="3">
        <v>9.80952380952381</v>
      </c>
      <c r="Q206" s="7">
        <v>0.23076923076923078</v>
      </c>
      <c r="R206" s="9" t="str">
        <f>IFERROR(__xludf.DUMMYFUNCTION("FILTER('Extração 1'!C:C, 'Extração 1'!A:A = A206, 'Extração 1'!B:B = ""boarding"")"),"#REF!")</f>
        <v>#REF!</v>
      </c>
    </row>
    <row r="207">
      <c r="A207" s="3" t="s">
        <v>263</v>
      </c>
      <c r="C207" s="3" t="s">
        <v>19</v>
      </c>
      <c r="D207" s="3" t="s">
        <v>20</v>
      </c>
      <c r="E207" s="3" t="s">
        <v>261</v>
      </c>
      <c r="F207" s="4">
        <v>3.0</v>
      </c>
      <c r="G207" s="4">
        <v>3.0</v>
      </c>
      <c r="H207" s="5">
        <v>0.0</v>
      </c>
      <c r="I207" s="6">
        <v>3.0</v>
      </c>
      <c r="J207" s="6">
        <v>0.0</v>
      </c>
      <c r="K207" s="7">
        <v>0.0</v>
      </c>
      <c r="L207" s="6">
        <v>3.0</v>
      </c>
      <c r="M207" s="6">
        <v>3.0</v>
      </c>
      <c r="N207" s="7">
        <v>1.0</v>
      </c>
      <c r="O207" s="8">
        <v>2.735246913580247</v>
      </c>
      <c r="Q207" s="7"/>
      <c r="R207" s="9" t="str">
        <f>IFERROR(__xludf.DUMMYFUNCTION("FILTER('Extração 1'!C:C, 'Extração 1'!A:A = A207, 'Extração 1'!B:B = ""boarding"")"),"#REF!")</f>
        <v>#REF!</v>
      </c>
    </row>
    <row r="208">
      <c r="A208" s="3" t="s">
        <v>264</v>
      </c>
      <c r="B208" s="3" t="s">
        <v>55</v>
      </c>
      <c r="C208" s="3" t="s">
        <v>19</v>
      </c>
      <c r="D208" s="3" t="s">
        <v>20</v>
      </c>
      <c r="E208" s="3" t="s">
        <v>261</v>
      </c>
      <c r="F208" s="4">
        <v>4.0</v>
      </c>
      <c r="G208" s="4">
        <v>4.0</v>
      </c>
      <c r="H208" s="5">
        <v>11376.400000000003</v>
      </c>
      <c r="I208" s="6">
        <v>160.0</v>
      </c>
      <c r="J208" s="6">
        <v>47.0</v>
      </c>
      <c r="K208" s="7">
        <v>0.22274881516587677</v>
      </c>
      <c r="L208" s="6">
        <v>209.0</v>
      </c>
      <c r="M208" s="6">
        <v>206.0</v>
      </c>
      <c r="N208" s="7">
        <v>0.9856459330143541</v>
      </c>
      <c r="O208" s="8">
        <v>0.36425770176362865</v>
      </c>
      <c r="P208" s="3">
        <v>9.578947368421053</v>
      </c>
      <c r="Q208" s="7">
        <v>0.4222222222222222</v>
      </c>
      <c r="R208" s="9" t="str">
        <f>IFERROR(__xludf.DUMMYFUNCTION("FILTER('Extração 1'!C:C, 'Extração 1'!A:A = A208, 'Extração 1'!B:B = ""boarding"")"),"#REF!")</f>
        <v>#REF!</v>
      </c>
    </row>
    <row r="209">
      <c r="A209" s="3" t="s">
        <v>265</v>
      </c>
      <c r="B209" s="3" t="s">
        <v>53</v>
      </c>
      <c r="C209" s="3" t="s">
        <v>19</v>
      </c>
      <c r="D209" s="3" t="s">
        <v>20</v>
      </c>
      <c r="E209" s="3" t="s">
        <v>261</v>
      </c>
      <c r="F209" s="4">
        <v>6.0</v>
      </c>
      <c r="G209" s="4">
        <v>6.0</v>
      </c>
      <c r="H209" s="5">
        <v>19066.34</v>
      </c>
      <c r="I209" s="6">
        <v>124.0</v>
      </c>
      <c r="J209" s="6">
        <v>40.0</v>
      </c>
      <c r="K209" s="7">
        <v>0.28169014084507044</v>
      </c>
      <c r="L209" s="6">
        <v>124.0</v>
      </c>
      <c r="M209" s="6">
        <v>124.0</v>
      </c>
      <c r="N209" s="7">
        <v>1.0</v>
      </c>
      <c r="O209" s="8">
        <v>0.3292671084437776</v>
      </c>
      <c r="P209" s="3">
        <v>10.0</v>
      </c>
      <c r="Q209" s="7">
        <v>0.5454545454545454</v>
      </c>
      <c r="R209" s="9" t="str">
        <f>IFERROR(__xludf.DUMMYFUNCTION("FILTER('Extração 1'!C:C, 'Extração 1'!A:A = A209, 'Extração 1'!B:B = ""boarding"")"),"#REF!")</f>
        <v>#REF!</v>
      </c>
    </row>
    <row r="210">
      <c r="A210" s="3" t="s">
        <v>266</v>
      </c>
      <c r="C210" s="3" t="s">
        <v>19</v>
      </c>
      <c r="D210" s="3" t="s">
        <v>20</v>
      </c>
      <c r="E210" s="3" t="s">
        <v>261</v>
      </c>
      <c r="F210" s="4">
        <v>2.0</v>
      </c>
      <c r="G210" s="4">
        <v>2.0</v>
      </c>
      <c r="H210" s="5">
        <v>0.0</v>
      </c>
      <c r="I210" s="6">
        <v>22.0</v>
      </c>
      <c r="J210" s="6">
        <v>1.0</v>
      </c>
      <c r="K210" s="7">
        <v>0.038461538461538464</v>
      </c>
      <c r="L210" s="6">
        <v>17.0</v>
      </c>
      <c r="M210" s="6">
        <v>13.0</v>
      </c>
      <c r="N210" s="7">
        <v>0.7647058823529411</v>
      </c>
      <c r="O210" s="8">
        <v>17.79776627218935</v>
      </c>
      <c r="Q210" s="7">
        <v>0.0</v>
      </c>
      <c r="R210" s="9" t="str">
        <f>IFERROR(__xludf.DUMMYFUNCTION("FILTER('Extração 1'!C:C, 'Extração 1'!A:A = A210, 'Extração 1'!B:B = ""boarding"")"),"#REF!")</f>
        <v>#REF!</v>
      </c>
    </row>
    <row r="211">
      <c r="A211" s="3" t="s">
        <v>267</v>
      </c>
      <c r="C211" s="3" t="s">
        <v>19</v>
      </c>
      <c r="D211" s="3" t="s">
        <v>20</v>
      </c>
      <c r="E211" s="3" t="s">
        <v>268</v>
      </c>
      <c r="F211" s="4">
        <v>4.0</v>
      </c>
      <c r="G211" s="4">
        <v>4.0</v>
      </c>
      <c r="H211" s="5">
        <v>3852.8700000000003</v>
      </c>
      <c r="I211" s="6">
        <v>36.0</v>
      </c>
      <c r="J211" s="6">
        <v>13.0</v>
      </c>
      <c r="K211" s="7">
        <v>0.2765957446808511</v>
      </c>
      <c r="L211" s="6">
        <v>39.0</v>
      </c>
      <c r="M211" s="6">
        <v>39.0</v>
      </c>
      <c r="N211" s="7">
        <v>1.0</v>
      </c>
      <c r="O211" s="8">
        <v>1.1981445868945868</v>
      </c>
      <c r="P211" s="3">
        <v>10.0</v>
      </c>
      <c r="Q211" s="7">
        <v>0.38461538461538464</v>
      </c>
      <c r="R211" s="9" t="str">
        <f>IFERROR(__xludf.DUMMYFUNCTION("FILTER('Extração 1'!C:C, 'Extração 1'!A:A = A211, 'Extração 1'!B:B = ""boarding"")"),"#REF!")</f>
        <v>#REF!</v>
      </c>
    </row>
    <row r="212">
      <c r="A212" s="3" t="s">
        <v>269</v>
      </c>
      <c r="C212" s="3" t="s">
        <v>19</v>
      </c>
      <c r="D212" s="3" t="s">
        <v>20</v>
      </c>
      <c r="E212" s="3" t="s">
        <v>268</v>
      </c>
      <c r="F212" s="4">
        <v>7.0</v>
      </c>
      <c r="G212" s="4">
        <v>7.0</v>
      </c>
      <c r="H212" s="5">
        <v>26359.229900000002</v>
      </c>
      <c r="I212" s="6">
        <v>210.0</v>
      </c>
      <c r="J212" s="6">
        <v>75.0</v>
      </c>
      <c r="K212" s="7">
        <v>0.28846153846153844</v>
      </c>
      <c r="L212" s="6">
        <v>227.0</v>
      </c>
      <c r="M212" s="6">
        <v>226.0</v>
      </c>
      <c r="N212" s="7">
        <v>0.9955947136563876</v>
      </c>
      <c r="O212" s="8">
        <v>0.03182803062227841</v>
      </c>
      <c r="P212" s="3">
        <v>9.375</v>
      </c>
      <c r="Q212" s="7">
        <v>0.19753086419753085</v>
      </c>
      <c r="R212" s="9" t="str">
        <f>IFERROR(__xludf.DUMMYFUNCTION("FILTER('Extração 1'!C:C, 'Extração 1'!A:A = A212, 'Extração 1'!B:B = ""boarding"")"),"#REF!")</f>
        <v>#REF!</v>
      </c>
    </row>
    <row r="213">
      <c r="A213" s="3" t="s">
        <v>270</v>
      </c>
      <c r="C213" s="3" t="s">
        <v>19</v>
      </c>
      <c r="D213" s="3" t="s">
        <v>20</v>
      </c>
      <c r="E213" s="3" t="s">
        <v>268</v>
      </c>
      <c r="F213" s="4">
        <v>5.0</v>
      </c>
      <c r="G213" s="4">
        <v>5.0</v>
      </c>
      <c r="H213" s="5">
        <v>1404.48</v>
      </c>
      <c r="I213" s="6">
        <v>20.0</v>
      </c>
      <c r="J213" s="6">
        <v>5.0</v>
      </c>
      <c r="K213" s="7">
        <v>0.16129032258064516</v>
      </c>
      <c r="L213" s="6">
        <v>29.0</v>
      </c>
      <c r="M213" s="6">
        <v>28.0</v>
      </c>
      <c r="N213" s="7">
        <v>0.9655172413793104</v>
      </c>
      <c r="O213" s="8">
        <v>1.6072685185185185</v>
      </c>
      <c r="P213" s="3">
        <v>10.0</v>
      </c>
      <c r="Q213" s="7">
        <v>0.6</v>
      </c>
      <c r="R213" s="9" t="str">
        <f>IFERROR(__xludf.DUMMYFUNCTION("FILTER('Extração 1'!C:C, 'Extração 1'!A:A = A213, 'Extração 1'!B:B = ""boarding"")"),"#REF!")</f>
        <v>#REF!</v>
      </c>
    </row>
    <row r="214">
      <c r="A214" s="3" t="s">
        <v>271</v>
      </c>
      <c r="C214" s="3" t="s">
        <v>19</v>
      </c>
      <c r="D214" s="3" t="s">
        <v>20</v>
      </c>
      <c r="E214" s="3" t="s">
        <v>272</v>
      </c>
      <c r="F214" s="4">
        <v>4.0</v>
      </c>
      <c r="G214" s="4">
        <v>4.0</v>
      </c>
      <c r="H214" s="5">
        <v>4634.400000000001</v>
      </c>
      <c r="I214" s="6">
        <v>54.0</v>
      </c>
      <c r="J214" s="6">
        <v>10.0</v>
      </c>
      <c r="K214" s="7">
        <v>0.16393442622950818</v>
      </c>
      <c r="L214" s="6">
        <v>56.0</v>
      </c>
      <c r="M214" s="6">
        <v>54.0</v>
      </c>
      <c r="N214" s="7">
        <v>0.9642857142857143</v>
      </c>
      <c r="O214" s="8">
        <v>0.26208210323850417</v>
      </c>
      <c r="P214" s="3">
        <v>10.0</v>
      </c>
      <c r="Q214" s="7">
        <v>0.5454545454545454</v>
      </c>
      <c r="R214" s="9" t="str">
        <f>IFERROR(__xludf.DUMMYFUNCTION("FILTER('Extração 1'!C:C, 'Extração 1'!A:A = A214, 'Extração 1'!B:B = ""boarding"")"),"#REF!")</f>
        <v>#REF!</v>
      </c>
    </row>
    <row r="215">
      <c r="A215" s="3" t="s">
        <v>273</v>
      </c>
      <c r="C215" s="3" t="s">
        <v>19</v>
      </c>
      <c r="D215" s="3" t="s">
        <v>20</v>
      </c>
      <c r="E215" s="3" t="s">
        <v>272</v>
      </c>
      <c r="F215" s="4">
        <v>3.0</v>
      </c>
      <c r="G215" s="4">
        <v>3.0</v>
      </c>
      <c r="H215" s="5">
        <v>5581.88</v>
      </c>
      <c r="I215" s="6">
        <v>67.0</v>
      </c>
      <c r="J215" s="6">
        <v>12.0</v>
      </c>
      <c r="K215" s="7">
        <v>0.14285714285714285</v>
      </c>
      <c r="L215" s="6">
        <v>79.0</v>
      </c>
      <c r="M215" s="6">
        <v>74.0</v>
      </c>
      <c r="N215" s="7">
        <v>0.9367088607594937</v>
      </c>
      <c r="O215" s="8">
        <v>1.498662342898454</v>
      </c>
      <c r="P215" s="3">
        <v>10.0</v>
      </c>
      <c r="Q215" s="7">
        <v>0.2857142857142857</v>
      </c>
      <c r="R215" s="9" t="str">
        <f>IFERROR(__xludf.DUMMYFUNCTION("FILTER('Extração 1'!C:C, 'Extração 1'!A:A = A215, 'Extração 1'!B:B = ""boarding"")"),"#REF!")</f>
        <v>#REF!</v>
      </c>
    </row>
    <row r="216">
      <c r="A216" s="3" t="s">
        <v>274</v>
      </c>
      <c r="C216" s="3" t="s">
        <v>19</v>
      </c>
      <c r="D216" s="3" t="s">
        <v>20</v>
      </c>
      <c r="E216" s="3" t="s">
        <v>272</v>
      </c>
      <c r="F216" s="4">
        <v>2.0</v>
      </c>
      <c r="G216" s="4">
        <v>2.0</v>
      </c>
      <c r="H216" s="5">
        <v>12536.300000000003</v>
      </c>
      <c r="I216" s="6">
        <v>132.0</v>
      </c>
      <c r="J216" s="6">
        <v>26.0</v>
      </c>
      <c r="K216" s="7">
        <v>0.15476190476190477</v>
      </c>
      <c r="L216" s="6">
        <v>138.0</v>
      </c>
      <c r="M216" s="6">
        <v>138.0</v>
      </c>
      <c r="N216" s="7">
        <v>1.0</v>
      </c>
      <c r="O216" s="8">
        <v>0.2063834817340785</v>
      </c>
      <c r="P216" s="3">
        <v>10.0</v>
      </c>
      <c r="Q216" s="7">
        <v>0.7857142857142857</v>
      </c>
      <c r="R216" s="9" t="str">
        <f>IFERROR(__xludf.DUMMYFUNCTION("FILTER('Extração 1'!C:C, 'Extração 1'!A:A = A216, 'Extração 1'!B:B = ""boarding"")"),"#REF!")</f>
        <v>#REF!</v>
      </c>
    </row>
    <row r="217">
      <c r="A217" s="3" t="s">
        <v>275</v>
      </c>
      <c r="C217" s="3" t="s">
        <v>19</v>
      </c>
      <c r="D217" s="3" t="s">
        <v>20</v>
      </c>
      <c r="E217" s="3" t="s">
        <v>272</v>
      </c>
      <c r="F217" s="4">
        <v>3.0</v>
      </c>
      <c r="G217" s="4">
        <v>3.0</v>
      </c>
      <c r="H217" s="5">
        <v>2067.9700000000003</v>
      </c>
      <c r="I217" s="6">
        <v>14.0</v>
      </c>
      <c r="J217" s="6">
        <v>5.0</v>
      </c>
      <c r="K217" s="7">
        <v>0.3125</v>
      </c>
      <c r="L217" s="6">
        <v>14.0</v>
      </c>
      <c r="M217" s="6">
        <v>13.0</v>
      </c>
      <c r="N217" s="7">
        <v>0.9285714285714286</v>
      </c>
      <c r="O217" s="8">
        <v>0.1330802103879027</v>
      </c>
      <c r="P217" s="3">
        <v>10.0</v>
      </c>
      <c r="Q217" s="7">
        <v>0.4</v>
      </c>
      <c r="R217" s="9" t="str">
        <f>IFERROR(__xludf.DUMMYFUNCTION("FILTER('Extração 1'!C:C, 'Extração 1'!A:A = A217, 'Extração 1'!B:B = ""boarding"")"),"#REF!")</f>
        <v>#REF!</v>
      </c>
    </row>
    <row r="218">
      <c r="A218" s="3" t="s">
        <v>276</v>
      </c>
      <c r="C218" s="3" t="s">
        <v>19</v>
      </c>
      <c r="D218" s="3" t="s">
        <v>20</v>
      </c>
      <c r="E218" s="3" t="s">
        <v>272</v>
      </c>
      <c r="F218" s="4">
        <v>10.0</v>
      </c>
      <c r="G218" s="4">
        <v>10.0</v>
      </c>
      <c r="H218" s="5">
        <v>1281.34</v>
      </c>
      <c r="I218" s="6">
        <v>92.0</v>
      </c>
      <c r="J218" s="6">
        <v>2.0</v>
      </c>
      <c r="K218" s="7">
        <v>0.02127659574468085</v>
      </c>
      <c r="L218" s="6">
        <v>88.0</v>
      </c>
      <c r="M218" s="6">
        <v>74.0</v>
      </c>
      <c r="N218" s="7">
        <v>0.8409090909090909</v>
      </c>
      <c r="O218" s="8">
        <v>0.22416948198198197</v>
      </c>
      <c r="P218" s="3">
        <v>10.0</v>
      </c>
      <c r="Q218" s="7">
        <v>1.0</v>
      </c>
      <c r="R218" s="9" t="str">
        <f>IFERROR(__xludf.DUMMYFUNCTION("FILTER('Extração 1'!C:C, 'Extração 1'!A:A = A218, 'Extração 1'!B:B = ""boarding"")"),"#REF!")</f>
        <v>#REF!</v>
      </c>
    </row>
    <row r="219">
      <c r="A219" s="3" t="s">
        <v>277</v>
      </c>
      <c r="C219" s="3" t="s">
        <v>19</v>
      </c>
      <c r="D219" s="3" t="s">
        <v>20</v>
      </c>
      <c r="E219" s="3" t="s">
        <v>272</v>
      </c>
      <c r="F219" s="4">
        <v>3.0</v>
      </c>
      <c r="G219" s="4">
        <v>3.0</v>
      </c>
      <c r="H219" s="5">
        <v>8395.8</v>
      </c>
      <c r="I219" s="6">
        <v>175.0</v>
      </c>
      <c r="J219" s="6">
        <v>25.0</v>
      </c>
      <c r="K219" s="7">
        <v>0.13089005235602094</v>
      </c>
      <c r="L219" s="6">
        <v>178.0</v>
      </c>
      <c r="M219" s="6">
        <v>170.0</v>
      </c>
      <c r="N219" s="7">
        <v>0.9550561797752809</v>
      </c>
      <c r="O219" s="8">
        <v>0.0588394363443383</v>
      </c>
      <c r="P219" s="3">
        <v>10.0</v>
      </c>
      <c r="Q219" s="7">
        <v>0.36</v>
      </c>
      <c r="R219" s="9" t="str">
        <f>IFERROR(__xludf.DUMMYFUNCTION("FILTER('Extração 1'!C:C, 'Extração 1'!A:A = A219, 'Extração 1'!B:B = ""boarding"")"),"#REF!")</f>
        <v>#REF!</v>
      </c>
    </row>
    <row r="220">
      <c r="A220" s="3" t="s">
        <v>278</v>
      </c>
      <c r="C220" s="3" t="s">
        <v>19</v>
      </c>
      <c r="D220" s="3" t="s">
        <v>20</v>
      </c>
      <c r="E220" s="3" t="s">
        <v>272</v>
      </c>
      <c r="F220" s="4">
        <v>3.0</v>
      </c>
      <c r="G220" s="4">
        <v>3.0</v>
      </c>
      <c r="H220" s="5">
        <v>302.39</v>
      </c>
      <c r="I220" s="6">
        <v>22.0</v>
      </c>
      <c r="J220" s="6">
        <v>1.0</v>
      </c>
      <c r="K220" s="7">
        <v>0.04</v>
      </c>
      <c r="L220" s="6">
        <v>17.0</v>
      </c>
      <c r="M220" s="6">
        <v>6.0</v>
      </c>
      <c r="N220" s="7">
        <v>0.35294117647058826</v>
      </c>
      <c r="O220" s="8">
        <v>25.18239814814815</v>
      </c>
      <c r="Q220" s="7">
        <v>0.0</v>
      </c>
      <c r="R220" s="9" t="str">
        <f>IFERROR(__xludf.DUMMYFUNCTION("FILTER('Extração 1'!C:C, 'Extração 1'!A:A = A220, 'Extração 1'!B:B = ""boarding"")"),"#REF!")</f>
        <v>#REF!</v>
      </c>
    </row>
    <row r="221">
      <c r="A221" s="3" t="s">
        <v>279</v>
      </c>
      <c r="C221" s="3" t="s">
        <v>19</v>
      </c>
      <c r="D221" s="3" t="s">
        <v>20</v>
      </c>
      <c r="E221" s="3" t="s">
        <v>272</v>
      </c>
      <c r="F221" s="4">
        <v>2.0</v>
      </c>
      <c r="G221" s="4">
        <v>2.0</v>
      </c>
      <c r="H221" s="5">
        <v>9850.68</v>
      </c>
      <c r="I221" s="6">
        <v>56.0</v>
      </c>
      <c r="J221" s="6">
        <v>23.0</v>
      </c>
      <c r="K221" s="7">
        <v>0.3333333333333333</v>
      </c>
      <c r="L221" s="6">
        <v>67.0</v>
      </c>
      <c r="M221" s="6">
        <v>65.0</v>
      </c>
      <c r="N221" s="7">
        <v>0.9701492537313433</v>
      </c>
      <c r="O221" s="8">
        <v>0.2094495028780743</v>
      </c>
      <c r="P221" s="3">
        <v>10.0</v>
      </c>
      <c r="Q221" s="7">
        <v>0.21739130434782608</v>
      </c>
      <c r="R221" s="9" t="str">
        <f>IFERROR(__xludf.DUMMYFUNCTION("FILTER('Extração 1'!C:C, 'Extração 1'!A:A = A221, 'Extração 1'!B:B = ""boarding"")"),"#REF!")</f>
        <v>#REF!</v>
      </c>
    </row>
    <row r="222">
      <c r="A222" s="3" t="s">
        <v>280</v>
      </c>
      <c r="C222" s="3" t="s">
        <v>19</v>
      </c>
      <c r="D222" s="3" t="s">
        <v>20</v>
      </c>
      <c r="E222" s="3" t="s">
        <v>272</v>
      </c>
      <c r="F222" s="4">
        <v>2.0</v>
      </c>
      <c r="G222" s="4">
        <v>2.0</v>
      </c>
      <c r="H222" s="5">
        <v>1045.08</v>
      </c>
      <c r="I222" s="6">
        <v>15.0</v>
      </c>
      <c r="J222" s="6">
        <v>3.0</v>
      </c>
      <c r="K222" s="7">
        <v>0.15789473684210525</v>
      </c>
      <c r="L222" s="6">
        <v>19.0</v>
      </c>
      <c r="M222" s="6">
        <v>16.0</v>
      </c>
      <c r="N222" s="7">
        <v>0.8421052631578947</v>
      </c>
      <c r="O222" s="8">
        <v>0.14297453703703705</v>
      </c>
      <c r="P222" s="3">
        <v>10.0</v>
      </c>
      <c r="Q222" s="7">
        <v>0.3333333333333333</v>
      </c>
      <c r="R222" s="9" t="str">
        <f>IFERROR(__xludf.DUMMYFUNCTION("FILTER('Extração 1'!C:C, 'Extração 1'!A:A = A222, 'Extração 1'!B:B = ""boarding"")"),"#REF!")</f>
        <v>#REF!</v>
      </c>
    </row>
    <row r="223">
      <c r="A223" s="3" t="s">
        <v>281</v>
      </c>
      <c r="C223" s="3" t="s">
        <v>19</v>
      </c>
      <c r="D223" s="3" t="s">
        <v>20</v>
      </c>
      <c r="E223" s="3" t="s">
        <v>272</v>
      </c>
      <c r="F223" s="4"/>
      <c r="G223" s="4"/>
      <c r="H223" s="5">
        <v>0.0</v>
      </c>
      <c r="I223" s="6">
        <v>2.0</v>
      </c>
      <c r="J223" s="6">
        <v>0.0</v>
      </c>
      <c r="K223" s="7">
        <v>0.0</v>
      </c>
      <c r="L223" s="6">
        <v>2.0</v>
      </c>
      <c r="M223" s="6">
        <v>2.0</v>
      </c>
      <c r="N223" s="7">
        <v>1.0</v>
      </c>
      <c r="O223" s="8">
        <v>2.9530555555555558</v>
      </c>
      <c r="Q223" s="7"/>
      <c r="R223" s="2">
        <v>80.0</v>
      </c>
    </row>
    <row r="224">
      <c r="A224" s="3" t="s">
        <v>282</v>
      </c>
      <c r="C224" s="3" t="s">
        <v>19</v>
      </c>
      <c r="D224" s="3" t="s">
        <v>20</v>
      </c>
      <c r="E224" s="3" t="s">
        <v>272</v>
      </c>
      <c r="F224" s="4">
        <v>2.0</v>
      </c>
      <c r="G224" s="4">
        <v>2.0</v>
      </c>
      <c r="H224" s="5">
        <v>204.4</v>
      </c>
      <c r="I224" s="6">
        <v>6.0</v>
      </c>
      <c r="J224" s="6">
        <v>1.0</v>
      </c>
      <c r="K224" s="7">
        <v>0.16666666666666666</v>
      </c>
      <c r="L224" s="6">
        <v>5.0</v>
      </c>
      <c r="M224" s="6">
        <v>4.0</v>
      </c>
      <c r="N224" s="7">
        <v>0.8</v>
      </c>
      <c r="O224" s="8">
        <v>0.21727430555555555</v>
      </c>
      <c r="Q224" s="7">
        <v>0.0</v>
      </c>
      <c r="R224" s="9" t="str">
        <f>IFERROR(__xludf.DUMMYFUNCTION("FILTER('Extração 1'!C:C, 'Extração 1'!A:A = A224, 'Extração 1'!B:B = ""boarding"")"),"#REF!")</f>
        <v>#REF!</v>
      </c>
    </row>
    <row r="225">
      <c r="A225" s="3" t="s">
        <v>283</v>
      </c>
      <c r="C225" s="3" t="s">
        <v>19</v>
      </c>
      <c r="D225" s="3" t="s">
        <v>20</v>
      </c>
      <c r="E225" s="3" t="s">
        <v>272</v>
      </c>
      <c r="F225" s="4">
        <v>2.0</v>
      </c>
      <c r="G225" s="4">
        <v>2.0</v>
      </c>
      <c r="H225" s="5">
        <v>0.0</v>
      </c>
      <c r="I225" s="6">
        <v>14.0</v>
      </c>
      <c r="J225" s="6">
        <v>0.0</v>
      </c>
      <c r="K225" s="7">
        <v>0.0</v>
      </c>
      <c r="L225" s="6">
        <v>15.0</v>
      </c>
      <c r="M225" s="6">
        <v>15.0</v>
      </c>
      <c r="N225" s="7">
        <v>1.0</v>
      </c>
      <c r="O225" s="8">
        <v>0.13994708994708993</v>
      </c>
      <c r="Q225" s="7"/>
      <c r="R225" s="9" t="str">
        <f>IFERROR(__xludf.DUMMYFUNCTION("FILTER('Extração 1'!C:C, 'Extração 1'!A:A = A225, 'Extração 1'!B:B = ""boarding"")"),"#REF!")</f>
        <v>#REF!</v>
      </c>
    </row>
    <row r="226">
      <c r="A226" s="3" t="s">
        <v>284</v>
      </c>
      <c r="C226" s="3" t="s">
        <v>19</v>
      </c>
      <c r="D226" s="3" t="s">
        <v>20</v>
      </c>
      <c r="E226" s="3" t="s">
        <v>272</v>
      </c>
      <c r="F226" s="4">
        <v>2.0</v>
      </c>
      <c r="G226" s="4">
        <v>2.0</v>
      </c>
      <c r="H226" s="5">
        <v>771.6800000000001</v>
      </c>
      <c r="I226" s="6">
        <v>16.0</v>
      </c>
      <c r="J226" s="6">
        <v>4.0</v>
      </c>
      <c r="K226" s="7">
        <v>0.25</v>
      </c>
      <c r="L226" s="6">
        <v>14.0</v>
      </c>
      <c r="M226" s="6">
        <v>14.0</v>
      </c>
      <c r="N226" s="7">
        <v>1.0</v>
      </c>
      <c r="O226" s="8">
        <v>11.054285714285715</v>
      </c>
      <c r="P226" s="3">
        <v>10.0</v>
      </c>
      <c r="Q226" s="7">
        <v>0.5</v>
      </c>
      <c r="R226" s="9" t="str">
        <f>IFERROR(__xludf.DUMMYFUNCTION("FILTER('Extração 1'!C:C, 'Extração 1'!A:A = A226, 'Extração 1'!B:B = ""boarding"")"),"#REF!")</f>
        <v>#REF!</v>
      </c>
    </row>
    <row r="227">
      <c r="A227" s="3" t="s">
        <v>285</v>
      </c>
      <c r="C227" s="3" t="s">
        <v>19</v>
      </c>
      <c r="D227" s="3" t="s">
        <v>20</v>
      </c>
      <c r="E227" s="3" t="s">
        <v>286</v>
      </c>
      <c r="F227" s="4">
        <v>2.0</v>
      </c>
      <c r="G227" s="4">
        <v>2.0</v>
      </c>
      <c r="H227" s="5">
        <v>8061.440000000002</v>
      </c>
      <c r="I227" s="6">
        <v>124.0</v>
      </c>
      <c r="J227" s="6">
        <v>18.0</v>
      </c>
      <c r="K227" s="7">
        <v>0.125</v>
      </c>
      <c r="L227" s="6">
        <v>132.0</v>
      </c>
      <c r="M227" s="6">
        <v>130.0</v>
      </c>
      <c r="N227" s="7">
        <v>0.9848484848484849</v>
      </c>
      <c r="O227" s="8">
        <v>1.7903776264245013</v>
      </c>
      <c r="P227" s="3">
        <v>10.0</v>
      </c>
      <c r="Q227" s="7">
        <v>0.2222222222222222</v>
      </c>
      <c r="R227" s="9" t="str">
        <f>IFERROR(__xludf.DUMMYFUNCTION("FILTER('Extração 1'!C:C, 'Extração 1'!A:A = A227, 'Extração 1'!B:B = ""boarding"")"),"#REF!")</f>
        <v>#REF!</v>
      </c>
    </row>
    <row r="228">
      <c r="A228" s="3" t="s">
        <v>287</v>
      </c>
      <c r="C228" s="3" t="s">
        <v>19</v>
      </c>
      <c r="D228" s="3" t="s">
        <v>20</v>
      </c>
      <c r="E228" s="3" t="s">
        <v>286</v>
      </c>
      <c r="F228" s="4">
        <v>2.0</v>
      </c>
      <c r="G228" s="4">
        <v>2.0</v>
      </c>
      <c r="H228" s="5">
        <v>6458.49</v>
      </c>
      <c r="I228" s="6">
        <v>39.0</v>
      </c>
      <c r="J228" s="6">
        <v>19.0</v>
      </c>
      <c r="K228" s="7">
        <v>0.4318181818181818</v>
      </c>
      <c r="L228" s="6">
        <v>32.0</v>
      </c>
      <c r="M228" s="6">
        <v>32.0</v>
      </c>
      <c r="N228" s="7">
        <v>1.0</v>
      </c>
      <c r="O228" s="8">
        <v>0.006369920267489712</v>
      </c>
      <c r="P228" s="3">
        <v>10.0</v>
      </c>
      <c r="Q228" s="7">
        <v>0.6363636363636364</v>
      </c>
      <c r="R228" s="9" t="str">
        <f>IFERROR(__xludf.DUMMYFUNCTION("FILTER('Extração 1'!C:C, 'Extração 1'!A:A = A228, 'Extração 1'!B:B = ""boarding"")"),"#REF!")</f>
        <v>#REF!</v>
      </c>
    </row>
    <row r="229">
      <c r="A229" s="3" t="s">
        <v>288</v>
      </c>
      <c r="C229" s="3" t="s">
        <v>19</v>
      </c>
      <c r="D229" s="3" t="s">
        <v>20</v>
      </c>
      <c r="E229" s="3" t="s">
        <v>286</v>
      </c>
      <c r="F229" s="4">
        <v>3.0</v>
      </c>
      <c r="G229" s="4">
        <v>3.0</v>
      </c>
      <c r="H229" s="5">
        <v>4785.31</v>
      </c>
      <c r="I229" s="6">
        <v>60.0</v>
      </c>
      <c r="J229" s="6">
        <v>7.0</v>
      </c>
      <c r="K229" s="7">
        <v>0.109375</v>
      </c>
      <c r="L229" s="6">
        <v>60.0</v>
      </c>
      <c r="M229" s="6">
        <v>42.0</v>
      </c>
      <c r="N229" s="7">
        <v>0.7</v>
      </c>
      <c r="O229" s="8">
        <v>0.4377675736961451</v>
      </c>
      <c r="P229" s="3">
        <v>10.0</v>
      </c>
      <c r="Q229" s="7">
        <v>0.42857142857142855</v>
      </c>
      <c r="R229" s="9" t="str">
        <f>IFERROR(__xludf.DUMMYFUNCTION("FILTER('Extração 1'!C:C, 'Extração 1'!A:A = A229, 'Extração 1'!B:B = ""boarding"")"),"#REF!")</f>
        <v>#REF!</v>
      </c>
    </row>
    <row r="230">
      <c r="A230" s="3" t="s">
        <v>289</v>
      </c>
      <c r="C230" s="3" t="s">
        <v>19</v>
      </c>
      <c r="D230" s="3" t="s">
        <v>20</v>
      </c>
      <c r="E230" s="3" t="s">
        <v>286</v>
      </c>
      <c r="F230" s="4">
        <v>2.0</v>
      </c>
      <c r="G230" s="4">
        <v>2.0</v>
      </c>
      <c r="H230" s="5">
        <v>7276.8200000000015</v>
      </c>
      <c r="I230" s="6">
        <v>116.0</v>
      </c>
      <c r="J230" s="6">
        <v>26.0</v>
      </c>
      <c r="K230" s="7">
        <v>0.19548872180451127</v>
      </c>
      <c r="L230" s="6">
        <v>129.0</v>
      </c>
      <c r="M230" s="6">
        <v>126.0</v>
      </c>
      <c r="N230" s="7">
        <v>0.9767441860465116</v>
      </c>
      <c r="O230" s="8">
        <v>0.15417300168258025</v>
      </c>
      <c r="P230" s="3">
        <v>9.933333333333334</v>
      </c>
      <c r="Q230" s="7">
        <v>0.5769230769230769</v>
      </c>
      <c r="R230" s="9" t="str">
        <f>IFERROR(__xludf.DUMMYFUNCTION("FILTER('Extração 1'!C:C, 'Extração 1'!A:A = A230, 'Extração 1'!B:B = ""boarding"")"),"#REF!")</f>
        <v>#REF!</v>
      </c>
    </row>
    <row r="231">
      <c r="A231" s="3" t="s">
        <v>290</v>
      </c>
      <c r="C231" s="3" t="s">
        <v>19</v>
      </c>
      <c r="D231" s="3" t="s">
        <v>20</v>
      </c>
      <c r="E231" s="3" t="s">
        <v>291</v>
      </c>
      <c r="F231" s="4">
        <v>2.0</v>
      </c>
      <c r="G231" s="4">
        <v>2.0</v>
      </c>
      <c r="H231" s="5">
        <v>12923.8799</v>
      </c>
      <c r="I231" s="6">
        <v>47.0</v>
      </c>
      <c r="J231" s="6">
        <v>12.0</v>
      </c>
      <c r="K231" s="7">
        <v>0.24</v>
      </c>
      <c r="L231" s="6">
        <v>45.0</v>
      </c>
      <c r="M231" s="6">
        <v>43.0</v>
      </c>
      <c r="N231" s="7">
        <v>0.9555555555555556</v>
      </c>
      <c r="O231" s="8">
        <v>0.39206700886933443</v>
      </c>
      <c r="P231" s="3">
        <v>10.0</v>
      </c>
      <c r="Q231" s="7">
        <v>0.35714285714285715</v>
      </c>
      <c r="R231" s="9" t="str">
        <f>IFERROR(__xludf.DUMMYFUNCTION("FILTER('Extração 1'!C:C, 'Extração 1'!A:A = A231, 'Extração 1'!B:B = ""boarding"")"),"#REF!")</f>
        <v>#REF!</v>
      </c>
    </row>
    <row r="232">
      <c r="A232" s="3" t="s">
        <v>292</v>
      </c>
      <c r="C232" s="3" t="s">
        <v>19</v>
      </c>
      <c r="D232" s="3" t="s">
        <v>20</v>
      </c>
      <c r="E232" s="3" t="s">
        <v>291</v>
      </c>
      <c r="F232" s="4">
        <v>3.0</v>
      </c>
      <c r="G232" s="4">
        <v>3.0</v>
      </c>
      <c r="H232" s="5">
        <v>3770.44</v>
      </c>
      <c r="I232" s="6">
        <v>96.0</v>
      </c>
      <c r="J232" s="6">
        <v>20.0</v>
      </c>
      <c r="K232" s="7">
        <v>0.18181818181818182</v>
      </c>
      <c r="L232" s="6">
        <v>95.0</v>
      </c>
      <c r="M232" s="6">
        <v>91.0</v>
      </c>
      <c r="N232" s="7">
        <v>0.9578947368421052</v>
      </c>
      <c r="O232" s="8">
        <v>0.15247226203747943</v>
      </c>
      <c r="P232" s="3">
        <v>10.0</v>
      </c>
      <c r="Q232" s="7">
        <v>0.2</v>
      </c>
      <c r="R232" s="9" t="str">
        <f>IFERROR(__xludf.DUMMYFUNCTION("FILTER('Extração 1'!C:C, 'Extração 1'!A:A = A232, 'Extração 1'!B:B = ""boarding"")"),"#REF!")</f>
        <v>#REF!</v>
      </c>
    </row>
    <row r="233">
      <c r="A233" s="3" t="s">
        <v>293</v>
      </c>
      <c r="C233" s="3" t="s">
        <v>19</v>
      </c>
      <c r="D233" s="3" t="s">
        <v>20</v>
      </c>
      <c r="E233" s="3" t="s">
        <v>291</v>
      </c>
      <c r="F233" s="4">
        <v>4.0</v>
      </c>
      <c r="G233" s="4">
        <v>4.0</v>
      </c>
      <c r="H233" s="5">
        <v>10216.419999999998</v>
      </c>
      <c r="I233" s="6">
        <v>106.0</v>
      </c>
      <c r="J233" s="6">
        <v>33.0</v>
      </c>
      <c r="K233" s="7">
        <v>0.2462686567164179</v>
      </c>
      <c r="L233" s="6">
        <v>118.0</v>
      </c>
      <c r="M233" s="6">
        <v>115.0</v>
      </c>
      <c r="N233" s="7">
        <v>0.9745762711864406</v>
      </c>
      <c r="O233" s="8">
        <v>0.8732297596181828</v>
      </c>
      <c r="P233" s="3">
        <v>10.0</v>
      </c>
      <c r="Q233" s="7">
        <v>0.24242424242424243</v>
      </c>
      <c r="R233" s="9" t="str">
        <f>IFERROR(__xludf.DUMMYFUNCTION("FILTER('Extração 1'!C:C, 'Extração 1'!A:A = A233, 'Extração 1'!B:B = ""boarding"")"),"#REF!")</f>
        <v>#REF!</v>
      </c>
    </row>
    <row r="234">
      <c r="A234" s="3" t="s">
        <v>294</v>
      </c>
      <c r="C234" s="3" t="s">
        <v>19</v>
      </c>
      <c r="D234" s="3" t="s">
        <v>20</v>
      </c>
      <c r="E234" s="3" t="s">
        <v>295</v>
      </c>
      <c r="F234" s="4">
        <v>10.0</v>
      </c>
      <c r="G234" s="4">
        <v>10.0</v>
      </c>
      <c r="H234" s="5">
        <v>31441.969900000007</v>
      </c>
      <c r="I234" s="6">
        <v>470.0</v>
      </c>
      <c r="J234" s="6">
        <v>121.0</v>
      </c>
      <c r="K234" s="7">
        <v>0.2119089316987741</v>
      </c>
      <c r="L234" s="6">
        <v>490.0</v>
      </c>
      <c r="M234" s="6">
        <v>466.0</v>
      </c>
      <c r="N234" s="7">
        <v>0.9510204081632653</v>
      </c>
      <c r="O234" s="8">
        <v>0.11231050846729812</v>
      </c>
      <c r="P234" s="3">
        <v>9.875</v>
      </c>
      <c r="Q234" s="7">
        <v>0.24242424242424243</v>
      </c>
      <c r="R234" s="9" t="str">
        <f>IFERROR(__xludf.DUMMYFUNCTION("FILTER('Extração 1'!C:C, 'Extração 1'!A:A = A234, 'Extração 1'!B:B = ""boarding"")"),"#REF!")</f>
        <v>#REF!</v>
      </c>
    </row>
    <row r="235">
      <c r="A235" s="3" t="s">
        <v>296</v>
      </c>
      <c r="C235" s="3" t="s">
        <v>19</v>
      </c>
      <c r="D235" s="3" t="s">
        <v>20</v>
      </c>
      <c r="E235" s="3" t="s">
        <v>297</v>
      </c>
      <c r="F235" s="4">
        <v>3.0</v>
      </c>
      <c r="G235" s="4">
        <v>3.0</v>
      </c>
      <c r="H235" s="5">
        <v>10522.970000000003</v>
      </c>
      <c r="I235" s="6">
        <v>82.0</v>
      </c>
      <c r="J235" s="6">
        <v>33.0</v>
      </c>
      <c r="K235" s="7">
        <v>0.32038834951456313</v>
      </c>
      <c r="L235" s="6">
        <v>96.0</v>
      </c>
      <c r="M235" s="6">
        <v>94.0</v>
      </c>
      <c r="N235" s="7">
        <v>0.9791666666666666</v>
      </c>
      <c r="O235" s="8">
        <v>0.09386093671278534</v>
      </c>
      <c r="P235" s="3">
        <v>10.0</v>
      </c>
      <c r="Q235" s="7">
        <v>0.18181818181818182</v>
      </c>
      <c r="R235" s="9" t="str">
        <f>IFERROR(__xludf.DUMMYFUNCTION("FILTER('Extração 1'!C:C, 'Extração 1'!A:A = A235, 'Extração 1'!B:B = ""boarding"")"),"#REF!")</f>
        <v>#REF!</v>
      </c>
    </row>
    <row r="236">
      <c r="A236" s="3" t="s">
        <v>298</v>
      </c>
      <c r="C236" s="3" t="s">
        <v>19</v>
      </c>
      <c r="D236" s="3" t="s">
        <v>20</v>
      </c>
      <c r="E236" s="3" t="s">
        <v>297</v>
      </c>
      <c r="F236" s="4">
        <v>2.0</v>
      </c>
      <c r="G236" s="4">
        <v>2.0</v>
      </c>
      <c r="H236" s="5">
        <v>8972.18</v>
      </c>
      <c r="I236" s="6">
        <v>60.0</v>
      </c>
      <c r="J236" s="6">
        <v>18.0</v>
      </c>
      <c r="K236" s="7">
        <v>0.26865671641791045</v>
      </c>
      <c r="L236" s="6">
        <v>65.0</v>
      </c>
      <c r="M236" s="6">
        <v>62.0</v>
      </c>
      <c r="N236" s="7">
        <v>0.9538461538461539</v>
      </c>
      <c r="O236" s="8">
        <v>0.06204051213123794</v>
      </c>
      <c r="P236" s="3">
        <v>10.0</v>
      </c>
      <c r="Q236" s="7">
        <v>0.4117647058823529</v>
      </c>
      <c r="R236" s="9" t="str">
        <f>IFERROR(__xludf.DUMMYFUNCTION("FILTER('Extração 1'!C:C, 'Extração 1'!A:A = A236, 'Extração 1'!B:B = ""boarding"")"),"#REF!")</f>
        <v>#REF!</v>
      </c>
    </row>
    <row r="237">
      <c r="A237" s="3" t="s">
        <v>299</v>
      </c>
      <c r="C237" s="3" t="s">
        <v>19</v>
      </c>
      <c r="D237" s="3" t="s">
        <v>20</v>
      </c>
      <c r="E237" s="3" t="s">
        <v>297</v>
      </c>
      <c r="F237" s="4">
        <v>4.0</v>
      </c>
      <c r="G237" s="4">
        <v>4.0</v>
      </c>
      <c r="H237" s="5">
        <v>14643.700000000003</v>
      </c>
      <c r="I237" s="6">
        <v>140.0</v>
      </c>
      <c r="J237" s="6">
        <v>46.0</v>
      </c>
      <c r="K237" s="7">
        <v>0.3026315789473684</v>
      </c>
      <c r="L237" s="6">
        <v>146.0</v>
      </c>
      <c r="M237" s="6">
        <v>146.0</v>
      </c>
      <c r="N237" s="7">
        <v>1.0</v>
      </c>
      <c r="O237" s="8">
        <v>0.0130866192975718</v>
      </c>
      <c r="P237" s="3">
        <v>10.0</v>
      </c>
      <c r="Q237" s="7">
        <v>0.1836734693877551</v>
      </c>
      <c r="R237" s="9" t="str">
        <f>IFERROR(__xludf.DUMMYFUNCTION("FILTER('Extração 1'!C:C, 'Extração 1'!A:A = A237, 'Extração 1'!B:B = ""boarding"")"),"#REF!")</f>
        <v>#REF!</v>
      </c>
    </row>
    <row r="238">
      <c r="A238" s="3" t="s">
        <v>300</v>
      </c>
      <c r="C238" s="3" t="s">
        <v>19</v>
      </c>
      <c r="D238" s="3" t="s">
        <v>20</v>
      </c>
      <c r="E238" s="3" t="s">
        <v>301</v>
      </c>
      <c r="F238" s="4"/>
      <c r="G238" s="4"/>
      <c r="H238" s="5">
        <v>0.0</v>
      </c>
      <c r="I238" s="6">
        <v>1.0</v>
      </c>
      <c r="J238" s="6">
        <v>0.0</v>
      </c>
      <c r="K238" s="7">
        <v>0.0</v>
      </c>
      <c r="L238" s="6">
        <v>7.0</v>
      </c>
      <c r="M238" s="6">
        <v>5.0</v>
      </c>
      <c r="N238" s="7">
        <v>0.7142857142857143</v>
      </c>
      <c r="O238" s="8">
        <v>2.4302592592592593</v>
      </c>
      <c r="Q238" s="7"/>
      <c r="R238" s="2">
        <v>40.0</v>
      </c>
    </row>
    <row r="239">
      <c r="A239" s="3" t="s">
        <v>302</v>
      </c>
      <c r="C239" s="3" t="s">
        <v>19</v>
      </c>
      <c r="D239" s="3" t="s">
        <v>20</v>
      </c>
      <c r="E239" s="3" t="s">
        <v>301</v>
      </c>
      <c r="F239" s="4">
        <v>3.0</v>
      </c>
      <c r="G239" s="4">
        <v>3.0</v>
      </c>
      <c r="H239" s="5">
        <v>577.64</v>
      </c>
      <c r="I239" s="6">
        <v>5.0</v>
      </c>
      <c r="J239" s="6">
        <v>2.0</v>
      </c>
      <c r="K239" s="7">
        <v>0.3333333333333333</v>
      </c>
      <c r="L239" s="6">
        <v>6.0</v>
      </c>
      <c r="M239" s="6">
        <v>6.0</v>
      </c>
      <c r="N239" s="7">
        <v>1.0</v>
      </c>
      <c r="O239" s="8">
        <v>0.16025462962962964</v>
      </c>
      <c r="Q239" s="7">
        <v>0.0</v>
      </c>
      <c r="R239" s="9" t="str">
        <f>IFERROR(__xludf.DUMMYFUNCTION("FILTER('Extração 1'!C:C, 'Extração 1'!A:A = A239, 'Extração 1'!B:B = ""boarding"")"),"#REF!")</f>
        <v>#REF!</v>
      </c>
    </row>
    <row r="240">
      <c r="A240" s="3" t="s">
        <v>303</v>
      </c>
      <c r="C240" s="3" t="s">
        <v>19</v>
      </c>
      <c r="D240" s="3" t="s">
        <v>20</v>
      </c>
      <c r="E240" s="3" t="s">
        <v>301</v>
      </c>
      <c r="F240" s="4"/>
      <c r="G240" s="4"/>
      <c r="H240" s="5">
        <v>2239.7700000000004</v>
      </c>
      <c r="I240" s="6">
        <v>34.0</v>
      </c>
      <c r="J240" s="6">
        <v>8.0</v>
      </c>
      <c r="K240" s="7">
        <v>0.20512820512820512</v>
      </c>
      <c r="L240" s="6">
        <v>48.0</v>
      </c>
      <c r="M240" s="6">
        <v>48.0</v>
      </c>
      <c r="N240" s="7">
        <v>1.0</v>
      </c>
      <c r="O240" s="8">
        <v>0.2471875</v>
      </c>
      <c r="P240" s="3">
        <v>10.0</v>
      </c>
      <c r="Q240" s="7">
        <v>0.625</v>
      </c>
      <c r="R240" s="2">
        <v>50.0</v>
      </c>
    </row>
    <row r="241">
      <c r="A241" s="3" t="s">
        <v>304</v>
      </c>
      <c r="C241" s="3" t="s">
        <v>19</v>
      </c>
      <c r="D241" s="3" t="s">
        <v>20</v>
      </c>
      <c r="E241" s="3" t="s">
        <v>301</v>
      </c>
      <c r="F241" s="4">
        <v>2.0</v>
      </c>
      <c r="G241" s="4">
        <v>2.0</v>
      </c>
      <c r="H241" s="5">
        <v>0.0</v>
      </c>
      <c r="I241" s="6">
        <v>26.0</v>
      </c>
      <c r="J241" s="6">
        <v>0.0</v>
      </c>
      <c r="K241" s="7">
        <v>0.0</v>
      </c>
      <c r="L241" s="6">
        <v>23.0</v>
      </c>
      <c r="M241" s="6">
        <v>9.0</v>
      </c>
      <c r="N241" s="7">
        <v>0.391304347826087</v>
      </c>
      <c r="O241" s="8">
        <v>12.341093964334705</v>
      </c>
      <c r="Q241" s="7"/>
      <c r="R241" s="9" t="str">
        <f>IFERROR(__xludf.DUMMYFUNCTION("FILTER('Extração 1'!C:C, 'Extração 1'!A:A = A241, 'Extração 1'!B:B = ""boarding"")"),"#REF!")</f>
        <v>#REF!</v>
      </c>
    </row>
    <row r="242">
      <c r="A242" s="3" t="s">
        <v>305</v>
      </c>
      <c r="C242" s="3" t="s">
        <v>19</v>
      </c>
      <c r="D242" s="3" t="s">
        <v>20</v>
      </c>
      <c r="E242" s="3" t="s">
        <v>301</v>
      </c>
      <c r="F242" s="4">
        <v>2.0</v>
      </c>
      <c r="G242" s="4">
        <v>2.0</v>
      </c>
      <c r="H242" s="5">
        <v>2007.6</v>
      </c>
      <c r="I242" s="6">
        <v>29.0</v>
      </c>
      <c r="J242" s="6">
        <v>6.0</v>
      </c>
      <c r="K242" s="7">
        <v>0.15384615384615385</v>
      </c>
      <c r="L242" s="6">
        <v>37.0</v>
      </c>
      <c r="M242" s="6">
        <v>35.0</v>
      </c>
      <c r="N242" s="7">
        <v>0.9459459459459459</v>
      </c>
      <c r="O242" s="8">
        <v>0.4247781557067271</v>
      </c>
      <c r="P242" s="3">
        <v>10.0</v>
      </c>
      <c r="Q242" s="7">
        <v>0.5</v>
      </c>
      <c r="R242" s="9" t="str">
        <f>IFERROR(__xludf.DUMMYFUNCTION("FILTER('Extração 1'!C:C, 'Extração 1'!A:A = A242, 'Extração 1'!B:B = ""boarding"")"),"#REF!")</f>
        <v>#REF!</v>
      </c>
    </row>
    <row r="243">
      <c r="A243" s="3" t="s">
        <v>306</v>
      </c>
      <c r="C243" s="3" t="s">
        <v>19</v>
      </c>
      <c r="D243" s="3" t="s">
        <v>20</v>
      </c>
      <c r="E243" s="3" t="s">
        <v>301</v>
      </c>
      <c r="F243" s="4">
        <v>10.0</v>
      </c>
      <c r="G243" s="4">
        <v>10.0</v>
      </c>
      <c r="H243" s="5">
        <v>46087.06000000001</v>
      </c>
      <c r="I243" s="6">
        <v>540.0</v>
      </c>
      <c r="J243" s="6">
        <v>138.0</v>
      </c>
      <c r="K243" s="7">
        <v>0.2247557003257329</v>
      </c>
      <c r="L243" s="6">
        <v>574.0</v>
      </c>
      <c r="M243" s="6">
        <v>554.0</v>
      </c>
      <c r="N243" s="7">
        <v>0.9651567944250871</v>
      </c>
      <c r="O243" s="8">
        <v>0.06639555686477694</v>
      </c>
      <c r="P243" s="3">
        <v>10.0</v>
      </c>
      <c r="Q243" s="7">
        <v>0.3333333333333333</v>
      </c>
      <c r="R243" s="9" t="str">
        <f>IFERROR(__xludf.DUMMYFUNCTION("FILTER('Extração 1'!C:C, 'Extração 1'!A:A = A243, 'Extração 1'!B:B = ""boarding"")"),"#REF!")</f>
        <v>#REF!</v>
      </c>
    </row>
    <row r="244">
      <c r="A244" s="3" t="s">
        <v>307</v>
      </c>
      <c r="C244" s="3" t="s">
        <v>19</v>
      </c>
      <c r="D244" s="3" t="s">
        <v>20</v>
      </c>
      <c r="E244" s="3" t="s">
        <v>301</v>
      </c>
      <c r="F244" s="4">
        <v>2.0</v>
      </c>
      <c r="G244" s="4">
        <v>2.0</v>
      </c>
      <c r="H244" s="5">
        <v>4232.339999999999</v>
      </c>
      <c r="I244" s="6">
        <v>96.0</v>
      </c>
      <c r="J244" s="6">
        <v>17.0</v>
      </c>
      <c r="K244" s="7">
        <v>0.15178571428571427</v>
      </c>
      <c r="L244" s="6">
        <v>101.0</v>
      </c>
      <c r="M244" s="6">
        <v>91.0</v>
      </c>
      <c r="N244" s="7">
        <v>0.900990099009901</v>
      </c>
      <c r="O244" s="8">
        <v>1.9229938321482438</v>
      </c>
      <c r="P244" s="3">
        <v>10.0</v>
      </c>
      <c r="Q244" s="7">
        <v>0.42105263157894735</v>
      </c>
      <c r="R244" s="9" t="str">
        <f>IFERROR(__xludf.DUMMYFUNCTION("FILTER('Extração 1'!C:C, 'Extração 1'!A:A = A244, 'Extração 1'!B:B = ""boarding"")"),"#REF!")</f>
        <v>#REF!</v>
      </c>
    </row>
    <row r="245">
      <c r="A245" s="3" t="s">
        <v>308</v>
      </c>
      <c r="C245" s="3" t="s">
        <v>19</v>
      </c>
      <c r="D245" s="3" t="s">
        <v>20</v>
      </c>
      <c r="E245" s="3" t="s">
        <v>301</v>
      </c>
      <c r="F245" s="4">
        <v>5.0</v>
      </c>
      <c r="G245" s="4">
        <v>5.0</v>
      </c>
      <c r="H245" s="5">
        <v>11607.780000000002</v>
      </c>
      <c r="I245" s="6">
        <v>139.0</v>
      </c>
      <c r="J245" s="6">
        <v>34.0</v>
      </c>
      <c r="K245" s="7">
        <v>0.22077922077922077</v>
      </c>
      <c r="L245" s="6">
        <v>148.0</v>
      </c>
      <c r="M245" s="6">
        <v>138.0</v>
      </c>
      <c r="N245" s="7">
        <v>0.9324324324324325</v>
      </c>
      <c r="O245" s="8">
        <v>0.21158297051748473</v>
      </c>
      <c r="P245" s="3">
        <v>10.0</v>
      </c>
      <c r="Q245" s="7">
        <v>0.4411764705882353</v>
      </c>
      <c r="R245" s="9" t="str">
        <f>IFERROR(__xludf.DUMMYFUNCTION("FILTER('Extração 1'!C:C, 'Extração 1'!A:A = A245, 'Extração 1'!B:B = ""boarding"")"),"#REF!")</f>
        <v>#REF!</v>
      </c>
    </row>
    <row r="246">
      <c r="A246" s="3" t="s">
        <v>309</v>
      </c>
      <c r="C246" s="3" t="s">
        <v>19</v>
      </c>
      <c r="D246" s="3" t="s">
        <v>20</v>
      </c>
      <c r="E246" s="3" t="s">
        <v>301</v>
      </c>
      <c r="F246" s="4"/>
      <c r="G246" s="4"/>
      <c r="H246" s="5">
        <v>0.0</v>
      </c>
      <c r="I246" s="6">
        <v>3.0</v>
      </c>
      <c r="J246" s="6">
        <v>0.0</v>
      </c>
      <c r="K246" s="7">
        <v>0.0</v>
      </c>
      <c r="L246" s="6">
        <v>3.0</v>
      </c>
      <c r="M246" s="6">
        <v>1.0</v>
      </c>
      <c r="N246" s="7">
        <v>0.3333333333333333</v>
      </c>
      <c r="O246" s="8">
        <v>1.0491666666666666</v>
      </c>
      <c r="Q246" s="7"/>
      <c r="R246" s="2">
        <v>80.0</v>
      </c>
    </row>
    <row r="247">
      <c r="A247" s="3" t="s">
        <v>310</v>
      </c>
      <c r="C247" s="3" t="s">
        <v>19</v>
      </c>
      <c r="D247" s="3" t="s">
        <v>20</v>
      </c>
      <c r="E247" s="3" t="s">
        <v>301</v>
      </c>
      <c r="F247" s="4">
        <v>4.0</v>
      </c>
      <c r="G247" s="4">
        <v>4.0</v>
      </c>
      <c r="H247" s="5">
        <v>0.0</v>
      </c>
      <c r="I247" s="6">
        <v>2.0</v>
      </c>
      <c r="J247" s="6">
        <v>0.0</v>
      </c>
      <c r="K247" s="7">
        <v>0.0</v>
      </c>
      <c r="L247" s="6">
        <v>2.0</v>
      </c>
      <c r="M247" s="6">
        <v>2.0</v>
      </c>
      <c r="N247" s="7">
        <v>1.0</v>
      </c>
      <c r="O247" s="8">
        <v>3.6281944444444445</v>
      </c>
      <c r="Q247" s="7"/>
      <c r="R247" s="9" t="str">
        <f>IFERROR(__xludf.DUMMYFUNCTION("FILTER('Extração 1'!C:C, 'Extração 1'!A:A = A247, 'Extração 1'!B:B = ""boarding"")"),"#REF!")</f>
        <v>#REF!</v>
      </c>
    </row>
    <row r="248">
      <c r="A248" s="3" t="s">
        <v>311</v>
      </c>
      <c r="C248" s="3" t="s">
        <v>19</v>
      </c>
      <c r="D248" s="3" t="s">
        <v>20</v>
      </c>
      <c r="E248" s="3" t="s">
        <v>301</v>
      </c>
      <c r="F248" s="4">
        <v>4.0</v>
      </c>
      <c r="G248" s="4">
        <v>4.0</v>
      </c>
      <c r="H248" s="5">
        <v>3938.0</v>
      </c>
      <c r="I248" s="6">
        <v>94.0</v>
      </c>
      <c r="J248" s="6">
        <v>8.0</v>
      </c>
      <c r="K248" s="7">
        <v>0.07692307692307693</v>
      </c>
      <c r="L248" s="6">
        <v>104.0</v>
      </c>
      <c r="M248" s="6">
        <v>104.0</v>
      </c>
      <c r="N248" s="7">
        <v>1.0</v>
      </c>
      <c r="O248" s="8">
        <v>0.10882051282051282</v>
      </c>
      <c r="P248" s="3">
        <v>10.0</v>
      </c>
      <c r="Q248" s="7">
        <v>0.75</v>
      </c>
      <c r="R248" s="9" t="str">
        <f>IFERROR(__xludf.DUMMYFUNCTION("FILTER('Extração 1'!C:C, 'Extração 1'!A:A = A248, 'Extração 1'!B:B = ""boarding"")"),"#REF!")</f>
        <v>#REF!</v>
      </c>
    </row>
    <row r="249">
      <c r="A249" s="3" t="s">
        <v>312</v>
      </c>
      <c r="C249" s="3" t="s">
        <v>19</v>
      </c>
      <c r="D249" s="3" t="s">
        <v>20</v>
      </c>
      <c r="E249" s="3" t="s">
        <v>301</v>
      </c>
      <c r="F249" s="4">
        <v>3.0</v>
      </c>
      <c r="G249" s="4">
        <v>3.0</v>
      </c>
      <c r="H249" s="5">
        <v>3615.02</v>
      </c>
      <c r="I249" s="6">
        <v>60.0</v>
      </c>
      <c r="J249" s="6">
        <v>12.0</v>
      </c>
      <c r="K249" s="7">
        <v>0.1791044776119403</v>
      </c>
      <c r="L249" s="6">
        <v>65.0</v>
      </c>
      <c r="M249" s="6">
        <v>63.0</v>
      </c>
      <c r="N249" s="7">
        <v>0.9692307692307692</v>
      </c>
      <c r="O249" s="8">
        <v>0.12754249690419903</v>
      </c>
      <c r="P249" s="3">
        <v>9.666666666666666</v>
      </c>
      <c r="Q249" s="7">
        <v>0.5</v>
      </c>
      <c r="R249" s="9" t="str">
        <f>IFERROR(__xludf.DUMMYFUNCTION("FILTER('Extração 1'!C:C, 'Extração 1'!A:A = A249, 'Extração 1'!B:B = ""boarding"")"),"#REF!")</f>
        <v>#REF!</v>
      </c>
    </row>
    <row r="250">
      <c r="A250" s="3" t="s">
        <v>313</v>
      </c>
      <c r="C250" s="3" t="s">
        <v>19</v>
      </c>
      <c r="D250" s="3" t="s">
        <v>20</v>
      </c>
      <c r="E250" s="3" t="s">
        <v>301</v>
      </c>
      <c r="F250" s="4">
        <v>8.0</v>
      </c>
      <c r="G250" s="4">
        <v>8.0</v>
      </c>
      <c r="H250" s="5">
        <v>0.0</v>
      </c>
      <c r="I250" s="6">
        <v>2.0</v>
      </c>
      <c r="J250" s="6">
        <v>0.0</v>
      </c>
      <c r="K250" s="7">
        <v>0.0</v>
      </c>
      <c r="L250" s="6">
        <v>4.0</v>
      </c>
      <c r="M250" s="6">
        <v>2.0</v>
      </c>
      <c r="N250" s="7">
        <v>0.5</v>
      </c>
      <c r="O250" s="8">
        <v>9.015416666666667</v>
      </c>
      <c r="Q250" s="7"/>
      <c r="R250" s="9" t="str">
        <f>IFERROR(__xludf.DUMMYFUNCTION("FILTER('Extração 1'!C:C, 'Extração 1'!A:A = A250, 'Extração 1'!B:B = ""boarding"")"),"#REF!")</f>
        <v>#REF!</v>
      </c>
    </row>
    <row r="251">
      <c r="A251" s="3" t="s">
        <v>314</v>
      </c>
      <c r="C251" s="3" t="s">
        <v>19</v>
      </c>
      <c r="D251" s="3" t="s">
        <v>20</v>
      </c>
      <c r="E251" s="3" t="s">
        <v>301</v>
      </c>
      <c r="F251" s="4">
        <v>2.0</v>
      </c>
      <c r="G251" s="4">
        <v>2.0</v>
      </c>
      <c r="H251" s="5">
        <v>5403.72</v>
      </c>
      <c r="I251" s="6">
        <v>44.0</v>
      </c>
      <c r="J251" s="6">
        <v>8.0</v>
      </c>
      <c r="K251" s="7">
        <v>0.18181818181818182</v>
      </c>
      <c r="L251" s="6">
        <v>42.0</v>
      </c>
      <c r="M251" s="6">
        <v>33.0</v>
      </c>
      <c r="N251" s="7">
        <v>0.7857142857142857</v>
      </c>
      <c r="O251" s="8">
        <v>0.3723538961038961</v>
      </c>
      <c r="P251" s="3">
        <v>10.0</v>
      </c>
      <c r="Q251" s="7">
        <v>0.625</v>
      </c>
      <c r="R251" s="9" t="str">
        <f>IFERROR(__xludf.DUMMYFUNCTION("FILTER('Extração 1'!C:C, 'Extração 1'!A:A = A251, 'Extração 1'!B:B = ""boarding"")"),"#REF!")</f>
        <v>#REF!</v>
      </c>
    </row>
    <row r="252">
      <c r="A252" s="3" t="s">
        <v>315</v>
      </c>
      <c r="C252" s="3" t="s">
        <v>19</v>
      </c>
      <c r="D252" s="3" t="s">
        <v>20</v>
      </c>
      <c r="E252" s="3" t="s">
        <v>301</v>
      </c>
      <c r="F252" s="4">
        <v>20.0</v>
      </c>
      <c r="G252" s="4">
        <v>20.0</v>
      </c>
      <c r="H252" s="5">
        <v>68121.57999999996</v>
      </c>
      <c r="I252" s="6">
        <v>626.0</v>
      </c>
      <c r="J252" s="6">
        <v>238.0</v>
      </c>
      <c r="K252" s="7">
        <v>0.31989247311827956</v>
      </c>
      <c r="L252" s="6">
        <v>700.0</v>
      </c>
      <c r="M252" s="6">
        <v>678.0</v>
      </c>
      <c r="N252" s="7">
        <v>0.9685714285714285</v>
      </c>
      <c r="O252" s="8">
        <v>0.14117655816510935</v>
      </c>
      <c r="P252" s="3">
        <v>9.909090909090908</v>
      </c>
      <c r="Q252" s="7">
        <v>0.08870967741935484</v>
      </c>
      <c r="R252" s="9" t="str">
        <f>IFERROR(__xludf.DUMMYFUNCTION("FILTER('Extração 1'!C:C, 'Extração 1'!A:A = A252, 'Extração 1'!B:B = ""boarding"")"),"#REF!")</f>
        <v>#REF!</v>
      </c>
    </row>
    <row r="253">
      <c r="A253" s="3" t="s">
        <v>316</v>
      </c>
      <c r="C253" s="3" t="s">
        <v>19</v>
      </c>
      <c r="D253" s="3" t="s">
        <v>20</v>
      </c>
      <c r="E253" s="3" t="s">
        <v>301</v>
      </c>
      <c r="F253" s="4">
        <v>3.0</v>
      </c>
      <c r="G253" s="4">
        <v>3.0</v>
      </c>
      <c r="H253" s="5">
        <v>470.4</v>
      </c>
      <c r="I253" s="6">
        <v>11.0</v>
      </c>
      <c r="J253" s="6">
        <v>3.0</v>
      </c>
      <c r="K253" s="7">
        <v>0.23076923076923078</v>
      </c>
      <c r="L253" s="6">
        <v>13.0</v>
      </c>
      <c r="M253" s="6">
        <v>13.0</v>
      </c>
      <c r="N253" s="7">
        <v>1.0</v>
      </c>
      <c r="O253" s="8">
        <v>0.24078671328671328</v>
      </c>
      <c r="P253" s="3">
        <v>10.0</v>
      </c>
      <c r="Q253" s="7">
        <v>0.6666666666666666</v>
      </c>
      <c r="R253" s="9" t="str">
        <f>IFERROR(__xludf.DUMMYFUNCTION("FILTER('Extração 1'!C:C, 'Extração 1'!A:A = A253, 'Extração 1'!B:B = ""boarding"")"),"#REF!")</f>
        <v>#REF!</v>
      </c>
    </row>
    <row r="254">
      <c r="A254" s="3" t="s">
        <v>317</v>
      </c>
      <c r="C254" s="3" t="s">
        <v>19</v>
      </c>
      <c r="D254" s="3" t="s">
        <v>20</v>
      </c>
      <c r="E254" s="3" t="s">
        <v>301</v>
      </c>
      <c r="F254" s="4">
        <v>1.0</v>
      </c>
      <c r="G254" s="4">
        <v>1.0</v>
      </c>
      <c r="H254" s="5">
        <v>2187.63</v>
      </c>
      <c r="I254" s="6">
        <v>20.0</v>
      </c>
      <c r="J254" s="6">
        <v>5.0</v>
      </c>
      <c r="K254" s="7">
        <v>0.20833333333333334</v>
      </c>
      <c r="L254" s="6">
        <v>21.0</v>
      </c>
      <c r="M254" s="6">
        <v>21.0</v>
      </c>
      <c r="N254" s="7">
        <v>1.0</v>
      </c>
      <c r="O254" s="8">
        <v>0.21993459729570838</v>
      </c>
      <c r="P254" s="3">
        <v>10.0</v>
      </c>
      <c r="Q254" s="7">
        <v>0.8</v>
      </c>
      <c r="R254" s="9" t="str">
        <f>IFERROR(__xludf.DUMMYFUNCTION("FILTER('Extração 1'!C:C, 'Extração 1'!A:A = A254, 'Extração 1'!B:B = ""boarding"")"),"#REF!")</f>
        <v>#REF!</v>
      </c>
    </row>
    <row r="255">
      <c r="A255" s="3" t="s">
        <v>318</v>
      </c>
      <c r="C255" s="3" t="s">
        <v>19</v>
      </c>
      <c r="D255" s="3" t="s">
        <v>20</v>
      </c>
      <c r="E255" s="3" t="s">
        <v>301</v>
      </c>
      <c r="F255" s="4">
        <v>4.0</v>
      </c>
      <c r="G255" s="4">
        <v>4.0</v>
      </c>
      <c r="H255" s="5">
        <v>4802.9400000000005</v>
      </c>
      <c r="I255" s="6">
        <v>84.0</v>
      </c>
      <c r="J255" s="6">
        <v>10.0</v>
      </c>
      <c r="K255" s="7">
        <v>0.11363636363636363</v>
      </c>
      <c r="L255" s="6">
        <v>82.0</v>
      </c>
      <c r="M255" s="6">
        <v>64.0</v>
      </c>
      <c r="N255" s="7">
        <v>0.7804878048780488</v>
      </c>
      <c r="O255" s="8">
        <v>0.24043740354938273</v>
      </c>
      <c r="P255" s="3">
        <v>10.0</v>
      </c>
      <c r="Q255" s="7">
        <v>0.5</v>
      </c>
      <c r="R255" s="9" t="str">
        <f>IFERROR(__xludf.DUMMYFUNCTION("FILTER('Extração 1'!C:C, 'Extração 1'!A:A = A255, 'Extração 1'!B:B = ""boarding"")"),"#REF!")</f>
        <v>#REF!</v>
      </c>
    </row>
    <row r="256">
      <c r="A256" s="3" t="s">
        <v>319</v>
      </c>
      <c r="C256" s="3" t="s">
        <v>19</v>
      </c>
      <c r="D256" s="3" t="s">
        <v>20</v>
      </c>
      <c r="E256" s="3" t="s">
        <v>301</v>
      </c>
      <c r="F256" s="4">
        <v>2.0</v>
      </c>
      <c r="G256" s="4">
        <v>2.0</v>
      </c>
      <c r="H256" s="5">
        <v>3063.64</v>
      </c>
      <c r="I256" s="6">
        <v>29.0</v>
      </c>
      <c r="J256" s="6">
        <v>11.0</v>
      </c>
      <c r="K256" s="7">
        <v>0.3142857142857143</v>
      </c>
      <c r="L256" s="6">
        <v>31.0</v>
      </c>
      <c r="M256" s="6">
        <v>31.0</v>
      </c>
      <c r="N256" s="7">
        <v>1.0</v>
      </c>
      <c r="O256" s="8">
        <v>0.058086917562724015</v>
      </c>
      <c r="P256" s="3">
        <v>10.0</v>
      </c>
      <c r="Q256" s="7">
        <v>0.5454545454545454</v>
      </c>
      <c r="R256" s="9" t="str">
        <f>IFERROR(__xludf.DUMMYFUNCTION("FILTER('Extração 1'!C:C, 'Extração 1'!A:A = A256, 'Extração 1'!B:B = ""boarding"")"),"#REF!")</f>
        <v>#REF!</v>
      </c>
    </row>
    <row r="257">
      <c r="A257" s="3" t="s">
        <v>320</v>
      </c>
      <c r="C257" s="3" t="s">
        <v>19</v>
      </c>
      <c r="D257" s="3" t="s">
        <v>20</v>
      </c>
      <c r="E257" s="3" t="s">
        <v>321</v>
      </c>
      <c r="F257" s="4">
        <v>4.0</v>
      </c>
      <c r="G257" s="4">
        <v>4.0</v>
      </c>
      <c r="H257" s="5">
        <v>3698.02</v>
      </c>
      <c r="I257" s="6">
        <v>22.0</v>
      </c>
      <c r="J257" s="6">
        <v>5.0</v>
      </c>
      <c r="K257" s="7">
        <v>0.19230769230769232</v>
      </c>
      <c r="L257" s="6">
        <v>26.0</v>
      </c>
      <c r="M257" s="6">
        <v>26.0</v>
      </c>
      <c r="N257" s="7">
        <v>1.0</v>
      </c>
      <c r="O257" s="8">
        <v>0.16402065527065526</v>
      </c>
      <c r="P257" s="3">
        <v>10.0</v>
      </c>
      <c r="Q257" s="7">
        <v>0.2</v>
      </c>
      <c r="R257" s="9" t="str">
        <f>IFERROR(__xludf.DUMMYFUNCTION("FILTER('Extração 1'!C:C, 'Extração 1'!A:A = A257, 'Extração 1'!B:B = ""boarding"")"),"#REF!")</f>
        <v>#REF!</v>
      </c>
    </row>
    <row r="258">
      <c r="A258" s="3" t="s">
        <v>322</v>
      </c>
      <c r="C258" s="3" t="s">
        <v>19</v>
      </c>
      <c r="D258" s="3" t="s">
        <v>20</v>
      </c>
      <c r="E258" s="3" t="s">
        <v>321</v>
      </c>
      <c r="F258" s="4">
        <v>10.0</v>
      </c>
      <c r="G258" s="4">
        <v>10.0</v>
      </c>
      <c r="H258" s="5">
        <v>30698.560000000005</v>
      </c>
      <c r="I258" s="6">
        <v>126.0</v>
      </c>
      <c r="J258" s="6">
        <v>58.0</v>
      </c>
      <c r="K258" s="7">
        <v>0.3333333333333333</v>
      </c>
      <c r="L258" s="6">
        <v>170.0</v>
      </c>
      <c r="M258" s="6">
        <v>170.0</v>
      </c>
      <c r="N258" s="7">
        <v>1.0</v>
      </c>
      <c r="O258" s="8">
        <v>0.17225285255345077</v>
      </c>
      <c r="P258" s="3">
        <v>10.0</v>
      </c>
      <c r="Q258" s="7">
        <v>0.43333333333333335</v>
      </c>
      <c r="R258" s="9" t="str">
        <f>IFERROR(__xludf.DUMMYFUNCTION("FILTER('Extração 1'!C:C, 'Extração 1'!A:A = A258, 'Extração 1'!B:B = ""boarding"")"),"#REF!")</f>
        <v>#REF!</v>
      </c>
    </row>
    <row r="259">
      <c r="A259" s="3" t="s">
        <v>323</v>
      </c>
      <c r="C259" s="3" t="s">
        <v>19</v>
      </c>
      <c r="D259" s="3" t="s">
        <v>20</v>
      </c>
      <c r="E259" s="3" t="s">
        <v>324</v>
      </c>
      <c r="F259" s="4">
        <v>2.0</v>
      </c>
      <c r="G259" s="4">
        <v>2.0</v>
      </c>
      <c r="H259" s="5">
        <v>1426.45</v>
      </c>
      <c r="I259" s="6">
        <v>2.0</v>
      </c>
      <c r="J259" s="6">
        <v>1.0</v>
      </c>
      <c r="K259" s="7">
        <v>0.5</v>
      </c>
      <c r="L259" s="6">
        <v>2.0</v>
      </c>
      <c r="M259" s="6">
        <v>2.0</v>
      </c>
      <c r="N259" s="7">
        <v>1.0</v>
      </c>
      <c r="O259" s="8">
        <v>27.308125</v>
      </c>
      <c r="Q259" s="7"/>
      <c r="R259" s="9" t="str">
        <f>IFERROR(__xludf.DUMMYFUNCTION("FILTER('Extração 1'!C:C, 'Extração 1'!A:A = A259, 'Extração 1'!B:B = ""boarding"")"),"#REF!")</f>
        <v>#REF!</v>
      </c>
    </row>
    <row r="260">
      <c r="A260" s="3" t="s">
        <v>325</v>
      </c>
      <c r="C260" s="3" t="s">
        <v>19</v>
      </c>
      <c r="D260" s="3" t="s">
        <v>20</v>
      </c>
      <c r="E260" s="3" t="s">
        <v>324</v>
      </c>
      <c r="F260" s="4">
        <v>4.0</v>
      </c>
      <c r="G260" s="4">
        <v>4.0</v>
      </c>
      <c r="H260" s="5">
        <v>25171.04</v>
      </c>
      <c r="I260" s="6">
        <v>126.0</v>
      </c>
      <c r="J260" s="6">
        <v>80.0</v>
      </c>
      <c r="K260" s="7">
        <v>0.5970149253731343</v>
      </c>
      <c r="L260" s="6">
        <v>130.0</v>
      </c>
      <c r="M260" s="6">
        <v>126.0</v>
      </c>
      <c r="N260" s="7">
        <v>0.9692307692307692</v>
      </c>
      <c r="O260" s="8">
        <v>0.22913993105659772</v>
      </c>
      <c r="Q260" s="7">
        <v>0.0</v>
      </c>
      <c r="R260" s="9" t="str">
        <f>IFERROR(__xludf.DUMMYFUNCTION("FILTER('Extração 1'!C:C, 'Extração 1'!A:A = A260, 'Extração 1'!B:B = ""boarding"")"),"#REF!")</f>
        <v>#REF!</v>
      </c>
    </row>
    <row r="261">
      <c r="A261" s="3" t="s">
        <v>326</v>
      </c>
      <c r="B261" s="3" t="s">
        <v>55</v>
      </c>
      <c r="C261" s="3" t="s">
        <v>19</v>
      </c>
      <c r="D261" s="3" t="s">
        <v>20</v>
      </c>
      <c r="E261" s="3" t="s">
        <v>327</v>
      </c>
      <c r="F261" s="4">
        <v>16.0</v>
      </c>
      <c r="G261" s="4">
        <v>16.0</v>
      </c>
      <c r="H261" s="5">
        <v>74374.23980000004</v>
      </c>
      <c r="I261" s="6">
        <v>426.0</v>
      </c>
      <c r="J261" s="6">
        <v>180.0</v>
      </c>
      <c r="K261" s="7">
        <v>0.32967032967032966</v>
      </c>
      <c r="L261" s="6">
        <v>504.0</v>
      </c>
      <c r="M261" s="6">
        <v>498.0</v>
      </c>
      <c r="N261" s="7">
        <v>0.9880952380952381</v>
      </c>
      <c r="O261" s="8">
        <v>0.0608815692879043</v>
      </c>
      <c r="P261" s="3">
        <v>10.0</v>
      </c>
      <c r="Q261" s="7">
        <v>0.2765957446808511</v>
      </c>
      <c r="R261" s="9" t="str">
        <f>IFERROR(__xludf.DUMMYFUNCTION("FILTER('Extração 1'!C:C, 'Extração 1'!A:A = A261, 'Extração 1'!B:B = ""boarding"")"),"#REF!")</f>
        <v>#REF!</v>
      </c>
    </row>
    <row r="262">
      <c r="A262" s="3" t="s">
        <v>328</v>
      </c>
      <c r="C262" s="3" t="s">
        <v>19</v>
      </c>
      <c r="D262" s="3" t="s">
        <v>20</v>
      </c>
      <c r="E262" s="3" t="s">
        <v>327</v>
      </c>
      <c r="F262" s="4">
        <v>4.0</v>
      </c>
      <c r="G262" s="4">
        <v>4.0</v>
      </c>
      <c r="H262" s="5">
        <v>15944.620000000003</v>
      </c>
      <c r="I262" s="6">
        <v>121.0</v>
      </c>
      <c r="J262" s="6">
        <v>36.0</v>
      </c>
      <c r="K262" s="7">
        <v>0.24489795918367346</v>
      </c>
      <c r="L262" s="6">
        <v>135.0</v>
      </c>
      <c r="M262" s="6">
        <v>111.0</v>
      </c>
      <c r="N262" s="7">
        <v>0.8222222222222222</v>
      </c>
      <c r="O262" s="8">
        <v>1.5318418097584763</v>
      </c>
      <c r="P262" s="3">
        <v>10.0</v>
      </c>
      <c r="Q262" s="7">
        <v>0.1111111111111111</v>
      </c>
      <c r="R262" s="9" t="str">
        <f>IFERROR(__xludf.DUMMYFUNCTION("FILTER('Extração 1'!C:C, 'Extração 1'!A:A = A262, 'Extração 1'!B:B = ""boarding"")"),"#REF!")</f>
        <v>#REF!</v>
      </c>
    </row>
    <row r="263">
      <c r="A263" s="3" t="s">
        <v>329</v>
      </c>
      <c r="C263" s="3" t="s">
        <v>19</v>
      </c>
      <c r="D263" s="3" t="s">
        <v>20</v>
      </c>
      <c r="E263" s="3" t="s">
        <v>327</v>
      </c>
      <c r="F263" s="4"/>
      <c r="G263" s="4"/>
      <c r="H263" s="5">
        <v>580.4</v>
      </c>
      <c r="I263" s="6">
        <v>6.0</v>
      </c>
      <c r="J263" s="6">
        <v>1.0</v>
      </c>
      <c r="K263" s="7">
        <v>0.125</v>
      </c>
      <c r="L263" s="6">
        <v>11.0</v>
      </c>
      <c r="M263" s="6">
        <v>11.0</v>
      </c>
      <c r="N263" s="7">
        <v>1.0</v>
      </c>
      <c r="O263" s="8">
        <v>0.6218686868686869</v>
      </c>
      <c r="Q263" s="7">
        <v>0.0</v>
      </c>
      <c r="R263" s="2">
        <v>65.0</v>
      </c>
    </row>
    <row r="264">
      <c r="A264" s="3" t="s">
        <v>330</v>
      </c>
      <c r="B264" s="3" t="s">
        <v>55</v>
      </c>
      <c r="C264" s="3" t="s">
        <v>19</v>
      </c>
      <c r="D264" s="3" t="s">
        <v>20</v>
      </c>
      <c r="E264" s="3" t="s">
        <v>331</v>
      </c>
      <c r="F264" s="4">
        <v>7.0</v>
      </c>
      <c r="G264" s="4">
        <v>7.0</v>
      </c>
      <c r="H264" s="5">
        <v>28336.58999999999</v>
      </c>
      <c r="I264" s="6">
        <v>396.0</v>
      </c>
      <c r="J264" s="6">
        <v>102.0</v>
      </c>
      <c r="K264" s="7">
        <v>0.2203023758099352</v>
      </c>
      <c r="L264" s="6">
        <v>437.0</v>
      </c>
      <c r="M264" s="6">
        <v>435.0</v>
      </c>
      <c r="N264" s="7">
        <v>0.9954233409610984</v>
      </c>
      <c r="O264" s="8">
        <v>0.057200972733697876</v>
      </c>
      <c r="P264" s="3">
        <v>9.555555555555555</v>
      </c>
      <c r="Q264" s="7">
        <v>0.1782178217821782</v>
      </c>
      <c r="R264" s="9" t="str">
        <f>IFERROR(__xludf.DUMMYFUNCTION("FILTER('Extração 1'!C:C, 'Extração 1'!A:A = A264, 'Extração 1'!B:B = ""boarding"")"),"#REF!")</f>
        <v>#REF!</v>
      </c>
    </row>
    <row r="265">
      <c r="A265" s="3" t="s">
        <v>332</v>
      </c>
      <c r="C265" s="3" t="s">
        <v>19</v>
      </c>
      <c r="D265" s="3" t="s">
        <v>20</v>
      </c>
      <c r="E265" s="3" t="s">
        <v>331</v>
      </c>
      <c r="F265" s="4">
        <v>16.0</v>
      </c>
      <c r="G265" s="4">
        <v>16.0</v>
      </c>
      <c r="H265" s="5">
        <v>24816.32000000001</v>
      </c>
      <c r="I265" s="6">
        <v>120.0</v>
      </c>
      <c r="J265" s="6">
        <v>66.0</v>
      </c>
      <c r="K265" s="7">
        <v>0.38372093023255816</v>
      </c>
      <c r="L265" s="6">
        <v>154.0</v>
      </c>
      <c r="M265" s="6">
        <v>154.0</v>
      </c>
      <c r="N265" s="7">
        <v>1.0</v>
      </c>
      <c r="O265" s="8">
        <v>0.04402741034685479</v>
      </c>
      <c r="P265" s="3">
        <v>10.0</v>
      </c>
      <c r="Q265" s="7">
        <v>0.7567567567567568</v>
      </c>
      <c r="R265" s="9" t="str">
        <f>IFERROR(__xludf.DUMMYFUNCTION("FILTER('Extração 1'!C:C, 'Extração 1'!A:A = A265, 'Extração 1'!B:B = ""boarding"")"),"#REF!")</f>
        <v>#REF!</v>
      </c>
    </row>
    <row r="266">
      <c r="A266" s="3" t="s">
        <v>333</v>
      </c>
      <c r="B266" s="3" t="s">
        <v>334</v>
      </c>
      <c r="C266" s="3" t="s">
        <v>19</v>
      </c>
      <c r="D266" s="3" t="s">
        <v>20</v>
      </c>
      <c r="E266" s="3" t="s">
        <v>331</v>
      </c>
      <c r="F266" s="4">
        <v>10.0</v>
      </c>
      <c r="G266" s="4">
        <v>10.0</v>
      </c>
      <c r="H266" s="5">
        <v>8568.4</v>
      </c>
      <c r="I266" s="6">
        <v>160.0</v>
      </c>
      <c r="J266" s="6">
        <v>32.0</v>
      </c>
      <c r="K266" s="7">
        <v>0.1797752808988764</v>
      </c>
      <c r="L266" s="6">
        <v>150.0</v>
      </c>
      <c r="M266" s="6">
        <v>146.0</v>
      </c>
      <c r="N266" s="7">
        <v>0.9733333333333334</v>
      </c>
      <c r="O266" s="8">
        <v>0.04650975915480347</v>
      </c>
      <c r="P266" s="3">
        <v>10.0</v>
      </c>
      <c r="Q266" s="7">
        <v>0.6875</v>
      </c>
      <c r="R266" s="9" t="str">
        <f>IFERROR(__xludf.DUMMYFUNCTION("FILTER('Extração 1'!C:C, 'Extração 1'!A:A = A266, 'Extração 1'!B:B = ""boarding"")"),"#REF!")</f>
        <v>#REF!</v>
      </c>
    </row>
    <row r="267">
      <c r="A267" s="3" t="s">
        <v>335</v>
      </c>
      <c r="C267" s="3" t="s">
        <v>19</v>
      </c>
      <c r="D267" s="3" t="s">
        <v>20</v>
      </c>
      <c r="E267" s="3" t="s">
        <v>336</v>
      </c>
      <c r="F267" s="4">
        <v>2.0</v>
      </c>
      <c r="G267" s="4">
        <v>2.0</v>
      </c>
      <c r="H267" s="5">
        <v>3254.02</v>
      </c>
      <c r="I267" s="6">
        <v>12.0</v>
      </c>
      <c r="J267" s="6">
        <v>3.0</v>
      </c>
      <c r="K267" s="7">
        <v>0.15</v>
      </c>
      <c r="L267" s="6">
        <v>19.0</v>
      </c>
      <c r="M267" s="6">
        <v>16.0</v>
      </c>
      <c r="N267" s="7">
        <v>0.8421052631578947</v>
      </c>
      <c r="O267" s="8">
        <v>0.2032855902777778</v>
      </c>
      <c r="P267" s="3">
        <v>10.0</v>
      </c>
      <c r="Q267" s="7">
        <v>0.5</v>
      </c>
      <c r="R267" s="9" t="str">
        <f>IFERROR(__xludf.DUMMYFUNCTION("FILTER('Extração 1'!C:C, 'Extração 1'!A:A = A267, 'Extração 1'!B:B = ""boarding"")"),"#REF!")</f>
        <v>#REF!</v>
      </c>
    </row>
    <row r="268">
      <c r="A268" s="3" t="s">
        <v>337</v>
      </c>
      <c r="C268" s="3" t="s">
        <v>19</v>
      </c>
      <c r="D268" s="3" t="s">
        <v>20</v>
      </c>
      <c r="E268" s="3" t="s">
        <v>336</v>
      </c>
      <c r="F268" s="4">
        <v>1.0</v>
      </c>
      <c r="G268" s="4">
        <v>1.0</v>
      </c>
      <c r="H268" s="5">
        <v>4298.86</v>
      </c>
      <c r="I268" s="6">
        <v>56.0</v>
      </c>
      <c r="J268" s="6">
        <v>12.0</v>
      </c>
      <c r="K268" s="7">
        <v>0.1935483870967742</v>
      </c>
      <c r="L268" s="6">
        <v>54.0</v>
      </c>
      <c r="M268" s="6">
        <v>52.0</v>
      </c>
      <c r="N268" s="7">
        <v>0.9629629629629629</v>
      </c>
      <c r="O268" s="8">
        <v>0.05294064301331743</v>
      </c>
      <c r="P268" s="3">
        <v>10.0</v>
      </c>
      <c r="Q268" s="7">
        <v>0.5833333333333334</v>
      </c>
      <c r="R268" s="9" t="str">
        <f>IFERROR(__xludf.DUMMYFUNCTION("FILTER('Extração 1'!C:C, 'Extração 1'!A:A = A268, 'Extração 1'!B:B = ""boarding"")"),"#REF!")</f>
        <v>#REF!</v>
      </c>
    </row>
    <row r="269">
      <c r="A269" s="3" t="s">
        <v>338</v>
      </c>
      <c r="C269" s="3" t="s">
        <v>19</v>
      </c>
      <c r="D269" s="3" t="s">
        <v>20</v>
      </c>
      <c r="E269" s="3" t="s">
        <v>336</v>
      </c>
      <c r="F269" s="4">
        <v>10.0</v>
      </c>
      <c r="G269" s="4">
        <v>10.0</v>
      </c>
      <c r="H269" s="5">
        <v>2444.54</v>
      </c>
      <c r="I269" s="6">
        <v>20.0</v>
      </c>
      <c r="J269" s="6">
        <v>5.0</v>
      </c>
      <c r="K269" s="7">
        <v>0.19230769230769232</v>
      </c>
      <c r="L269" s="6">
        <v>20.0</v>
      </c>
      <c r="M269" s="6">
        <v>18.0</v>
      </c>
      <c r="N269" s="7">
        <v>0.9</v>
      </c>
      <c r="O269" s="8">
        <v>14.681580009496676</v>
      </c>
      <c r="Q269" s="7">
        <v>0.0</v>
      </c>
      <c r="R269" s="9" t="str">
        <f>IFERROR(__xludf.DUMMYFUNCTION("FILTER('Extração 1'!C:C, 'Extração 1'!A:A = A269, 'Extração 1'!B:B = ""boarding"")"),"#REF!")</f>
        <v>#REF!</v>
      </c>
    </row>
    <row r="270">
      <c r="A270" s="3" t="s">
        <v>339</v>
      </c>
      <c r="C270" s="3" t="s">
        <v>19</v>
      </c>
      <c r="D270" s="3" t="s">
        <v>20</v>
      </c>
      <c r="E270" s="3" t="s">
        <v>336</v>
      </c>
      <c r="F270" s="4">
        <v>4.0</v>
      </c>
      <c r="G270" s="4">
        <v>4.0</v>
      </c>
      <c r="H270" s="5">
        <v>12842.2</v>
      </c>
      <c r="I270" s="6">
        <v>119.0</v>
      </c>
      <c r="J270" s="6">
        <v>32.0</v>
      </c>
      <c r="K270" s="7">
        <v>0.23529411764705882</v>
      </c>
      <c r="L270" s="6">
        <v>126.0</v>
      </c>
      <c r="M270" s="6">
        <v>122.0</v>
      </c>
      <c r="N270" s="7">
        <v>0.9682539682539683</v>
      </c>
      <c r="O270" s="8">
        <v>0.18849543157647333</v>
      </c>
      <c r="P270" s="3">
        <v>10.0</v>
      </c>
      <c r="Q270" s="7">
        <v>0.3235294117647059</v>
      </c>
      <c r="R270" s="9" t="str">
        <f>IFERROR(__xludf.DUMMYFUNCTION("FILTER('Extração 1'!C:C, 'Extração 1'!A:A = A270, 'Extração 1'!B:B = ""boarding"")"),"#REF!")</f>
        <v>#REF!</v>
      </c>
    </row>
    <row r="271">
      <c r="R271" s="9"/>
    </row>
    <row r="272">
      <c r="R272" s="9"/>
    </row>
    <row r="273">
      <c r="R273" s="9"/>
    </row>
    <row r="274">
      <c r="R274" s="9"/>
    </row>
    <row r="275">
      <c r="R275" s="9"/>
    </row>
    <row r="276">
      <c r="R276" s="9"/>
    </row>
    <row r="277">
      <c r="R277" s="9"/>
    </row>
    <row r="278">
      <c r="R278" s="9"/>
    </row>
    <row r="279">
      <c r="R279" s="9"/>
    </row>
    <row r="280">
      <c r="R280" s="9"/>
    </row>
    <row r="281">
      <c r="R281" s="9"/>
    </row>
    <row r="282">
      <c r="R282" s="9"/>
    </row>
    <row r="283">
      <c r="R283" s="9"/>
    </row>
    <row r="284">
      <c r="R284" s="9"/>
    </row>
    <row r="285">
      <c r="R285" s="9"/>
    </row>
    <row r="286">
      <c r="R286" s="9"/>
    </row>
    <row r="287">
      <c r="R287" s="9"/>
    </row>
    <row r="288">
      <c r="R288" s="9"/>
    </row>
    <row r="289">
      <c r="R289" s="9"/>
    </row>
    <row r="290">
      <c r="R290" s="9"/>
    </row>
    <row r="291">
      <c r="R291" s="9"/>
    </row>
    <row r="292">
      <c r="R292" s="9"/>
    </row>
    <row r="293">
      <c r="R293" s="9"/>
    </row>
    <row r="294">
      <c r="R294" s="9"/>
    </row>
    <row r="295">
      <c r="R295" s="9"/>
    </row>
    <row r="296">
      <c r="R296" s="9"/>
    </row>
    <row r="297">
      <c r="R297" s="9"/>
    </row>
    <row r="298">
      <c r="R298" s="9"/>
    </row>
    <row r="299">
      <c r="R299" s="9"/>
    </row>
    <row r="300">
      <c r="R300" s="9"/>
    </row>
    <row r="301">
      <c r="R301" s="9"/>
    </row>
    <row r="302">
      <c r="R302" s="9"/>
    </row>
    <row r="303">
      <c r="R303" s="9"/>
    </row>
    <row r="304">
      <c r="R304" s="9"/>
    </row>
    <row r="305">
      <c r="R305" s="9"/>
    </row>
    <row r="306">
      <c r="R306" s="9"/>
    </row>
    <row r="307">
      <c r="R307" s="9"/>
    </row>
    <row r="308">
      <c r="R308" s="9"/>
    </row>
    <row r="309">
      <c r="R309" s="9"/>
    </row>
    <row r="310">
      <c r="R310" s="9"/>
    </row>
    <row r="311">
      <c r="R311" s="9"/>
    </row>
    <row r="312">
      <c r="R312" s="9"/>
    </row>
    <row r="313">
      <c r="R313" s="9"/>
    </row>
    <row r="314">
      <c r="R314" s="9"/>
    </row>
    <row r="315">
      <c r="R315" s="9"/>
    </row>
    <row r="316">
      <c r="R316" s="9"/>
    </row>
    <row r="317">
      <c r="R317" s="9"/>
    </row>
    <row r="318">
      <c r="R318" s="9"/>
    </row>
    <row r="319">
      <c r="R319" s="9"/>
    </row>
    <row r="320">
      <c r="R320" s="9"/>
    </row>
    <row r="321">
      <c r="R321" s="9"/>
    </row>
    <row r="322">
      <c r="R322" s="9"/>
    </row>
    <row r="323">
      <c r="R323" s="9"/>
    </row>
    <row r="324">
      <c r="R324" s="9"/>
    </row>
    <row r="325">
      <c r="R325" s="9"/>
    </row>
    <row r="326">
      <c r="R326" s="9"/>
    </row>
    <row r="327">
      <c r="R327" s="9"/>
    </row>
    <row r="328">
      <c r="R328" s="9"/>
    </row>
    <row r="329">
      <c r="R329" s="9"/>
    </row>
    <row r="330">
      <c r="R330" s="9"/>
    </row>
    <row r="331">
      <c r="R331" s="9"/>
    </row>
    <row r="332">
      <c r="R332" s="9"/>
    </row>
    <row r="333">
      <c r="R333" s="9"/>
    </row>
    <row r="334">
      <c r="R334" s="9"/>
    </row>
    <row r="335">
      <c r="R335" s="9"/>
    </row>
    <row r="336">
      <c r="R336" s="9"/>
    </row>
    <row r="337">
      <c r="R337" s="9"/>
    </row>
    <row r="338">
      <c r="R338" s="9"/>
    </row>
    <row r="339">
      <c r="R339" s="9"/>
    </row>
    <row r="340">
      <c r="R340" s="9"/>
    </row>
    <row r="341">
      <c r="R341" s="9"/>
    </row>
    <row r="342">
      <c r="R342" s="9"/>
    </row>
    <row r="343">
      <c r="R343" s="9"/>
    </row>
    <row r="344">
      <c r="R344" s="9"/>
    </row>
    <row r="345">
      <c r="R345" s="9"/>
    </row>
    <row r="346">
      <c r="R346" s="9"/>
    </row>
    <row r="347">
      <c r="R347" s="9"/>
    </row>
    <row r="348">
      <c r="R348" s="9"/>
    </row>
    <row r="349">
      <c r="R349" s="9"/>
    </row>
    <row r="350">
      <c r="R350" s="9"/>
    </row>
    <row r="351">
      <c r="R351" s="9"/>
    </row>
    <row r="352">
      <c r="R352" s="9"/>
    </row>
    <row r="353">
      <c r="R353" s="9"/>
    </row>
    <row r="354">
      <c r="R354" s="9"/>
    </row>
    <row r="355">
      <c r="R355" s="9"/>
    </row>
    <row r="356">
      <c r="R356" s="9"/>
    </row>
    <row r="357">
      <c r="R357" s="9"/>
    </row>
    <row r="358">
      <c r="R358" s="9"/>
    </row>
    <row r="359">
      <c r="R359" s="9"/>
    </row>
    <row r="360">
      <c r="R360" s="9"/>
    </row>
    <row r="361">
      <c r="R361" s="9"/>
    </row>
    <row r="362">
      <c r="R362" s="9"/>
    </row>
    <row r="363">
      <c r="R363" s="9"/>
    </row>
    <row r="364">
      <c r="R364" s="9"/>
    </row>
    <row r="365">
      <c r="R365" s="9"/>
    </row>
    <row r="366">
      <c r="R366" s="9"/>
    </row>
    <row r="367">
      <c r="R367" s="9"/>
    </row>
    <row r="368">
      <c r="R368" s="9"/>
    </row>
    <row r="369">
      <c r="R369" s="9"/>
    </row>
    <row r="370">
      <c r="R370" s="9"/>
    </row>
    <row r="371">
      <c r="R371" s="9"/>
    </row>
    <row r="372">
      <c r="R372" s="9"/>
    </row>
    <row r="373">
      <c r="R373" s="9"/>
    </row>
    <row r="374">
      <c r="R374" s="9"/>
    </row>
    <row r="375">
      <c r="R375" s="9"/>
    </row>
    <row r="376">
      <c r="R376" s="9"/>
    </row>
    <row r="377">
      <c r="R377" s="9"/>
    </row>
    <row r="378">
      <c r="R378" s="9"/>
    </row>
    <row r="379">
      <c r="R379" s="9"/>
    </row>
    <row r="380">
      <c r="R380" s="9"/>
    </row>
    <row r="381">
      <c r="R381" s="9"/>
    </row>
    <row r="382">
      <c r="R382" s="9"/>
    </row>
    <row r="383">
      <c r="R383" s="9"/>
    </row>
    <row r="384">
      <c r="R384" s="9"/>
    </row>
    <row r="385">
      <c r="R385" s="9"/>
    </row>
    <row r="386">
      <c r="R386" s="9"/>
    </row>
    <row r="387">
      <c r="R387" s="9"/>
    </row>
    <row r="388">
      <c r="R388" s="9"/>
    </row>
    <row r="389">
      <c r="R389" s="9"/>
    </row>
    <row r="390">
      <c r="R390" s="9"/>
    </row>
    <row r="391">
      <c r="R391" s="9"/>
    </row>
    <row r="392">
      <c r="R392" s="9"/>
    </row>
    <row r="393">
      <c r="R393" s="9"/>
    </row>
    <row r="394">
      <c r="R394" s="9"/>
    </row>
    <row r="395">
      <c r="R395" s="9"/>
    </row>
    <row r="396">
      <c r="R396" s="9"/>
    </row>
    <row r="397">
      <c r="R397" s="9"/>
    </row>
    <row r="398">
      <c r="R398" s="9"/>
    </row>
    <row r="399">
      <c r="R399" s="9"/>
    </row>
    <row r="400">
      <c r="R400" s="9"/>
    </row>
    <row r="401">
      <c r="R401" s="9"/>
    </row>
    <row r="402">
      <c r="R402" s="9"/>
    </row>
    <row r="403">
      <c r="R403" s="9"/>
    </row>
    <row r="404">
      <c r="R404" s="9"/>
    </row>
    <row r="405">
      <c r="R405" s="9"/>
    </row>
    <row r="406">
      <c r="R406" s="9"/>
    </row>
    <row r="407">
      <c r="R407" s="9"/>
    </row>
    <row r="408">
      <c r="R408" s="9"/>
    </row>
    <row r="409">
      <c r="R409" s="9"/>
    </row>
    <row r="410">
      <c r="R410" s="9"/>
    </row>
    <row r="411">
      <c r="R411" s="9"/>
    </row>
    <row r="412">
      <c r="R412" s="9"/>
    </row>
    <row r="413">
      <c r="R413" s="9"/>
    </row>
    <row r="414">
      <c r="R414" s="9"/>
    </row>
    <row r="415">
      <c r="R415" s="9"/>
    </row>
    <row r="416">
      <c r="R416" s="9"/>
    </row>
    <row r="417">
      <c r="R417" s="9"/>
    </row>
    <row r="418">
      <c r="R418" s="9"/>
    </row>
    <row r="419">
      <c r="R419" s="9"/>
    </row>
    <row r="420">
      <c r="R420" s="9"/>
    </row>
    <row r="421">
      <c r="R421" s="9"/>
    </row>
    <row r="422">
      <c r="R422" s="9"/>
    </row>
    <row r="423">
      <c r="R423" s="9"/>
    </row>
    <row r="424">
      <c r="R424" s="9"/>
    </row>
    <row r="425">
      <c r="R425" s="9"/>
    </row>
    <row r="426">
      <c r="R426" s="9"/>
    </row>
    <row r="427">
      <c r="R427" s="9"/>
    </row>
    <row r="428">
      <c r="R428" s="9"/>
    </row>
    <row r="429">
      <c r="R429" s="9"/>
    </row>
    <row r="430">
      <c r="R430" s="9"/>
    </row>
    <row r="431">
      <c r="R431" s="9"/>
    </row>
    <row r="432">
      <c r="R432" s="9"/>
    </row>
    <row r="433">
      <c r="R433" s="9"/>
    </row>
    <row r="434">
      <c r="R434" s="9"/>
    </row>
    <row r="435">
      <c r="R435" s="9"/>
    </row>
    <row r="436">
      <c r="R436" s="9"/>
    </row>
    <row r="437">
      <c r="R437" s="9"/>
    </row>
    <row r="438">
      <c r="R438" s="9"/>
    </row>
    <row r="439">
      <c r="R439" s="9"/>
    </row>
    <row r="440">
      <c r="R440" s="9"/>
    </row>
    <row r="441">
      <c r="R441" s="9"/>
    </row>
    <row r="442">
      <c r="R442" s="9"/>
    </row>
    <row r="443">
      <c r="R443" s="9"/>
    </row>
    <row r="444">
      <c r="R444" s="9"/>
    </row>
    <row r="445">
      <c r="R445" s="9"/>
    </row>
    <row r="446">
      <c r="R446" s="9"/>
    </row>
    <row r="447">
      <c r="R447" s="9"/>
    </row>
    <row r="448">
      <c r="R448" s="9"/>
    </row>
    <row r="449">
      <c r="R449" s="9"/>
    </row>
    <row r="450">
      <c r="R450" s="9"/>
    </row>
    <row r="451">
      <c r="R451" s="9"/>
    </row>
    <row r="452">
      <c r="R452" s="9"/>
    </row>
    <row r="453">
      <c r="R453" s="9"/>
    </row>
    <row r="454">
      <c r="R454" s="9"/>
    </row>
    <row r="455">
      <c r="R455" s="9"/>
    </row>
    <row r="456">
      <c r="R456" s="9"/>
    </row>
    <row r="457">
      <c r="R457" s="9"/>
    </row>
    <row r="458">
      <c r="R458" s="9"/>
    </row>
    <row r="459">
      <c r="R459" s="9"/>
    </row>
    <row r="460">
      <c r="R460" s="9"/>
    </row>
    <row r="461">
      <c r="R461" s="9"/>
    </row>
    <row r="462">
      <c r="R462" s="9"/>
    </row>
    <row r="463">
      <c r="R463" s="9"/>
    </row>
    <row r="464">
      <c r="R464" s="9"/>
    </row>
    <row r="465">
      <c r="R465" s="9"/>
    </row>
    <row r="466">
      <c r="R466" s="9"/>
    </row>
    <row r="467">
      <c r="R467" s="9"/>
    </row>
    <row r="468">
      <c r="R468" s="9"/>
    </row>
    <row r="469">
      <c r="R469" s="9"/>
    </row>
    <row r="470">
      <c r="R470" s="9"/>
    </row>
    <row r="471">
      <c r="R471" s="9"/>
    </row>
    <row r="472">
      <c r="R472" s="9"/>
    </row>
    <row r="473">
      <c r="R473" s="9"/>
    </row>
    <row r="474">
      <c r="R474" s="9"/>
    </row>
    <row r="475">
      <c r="R475" s="9"/>
    </row>
    <row r="476">
      <c r="R476" s="9"/>
    </row>
    <row r="477">
      <c r="R477" s="9"/>
    </row>
    <row r="478">
      <c r="R478" s="9"/>
    </row>
    <row r="479">
      <c r="R479" s="9"/>
    </row>
    <row r="480">
      <c r="R480" s="9"/>
    </row>
    <row r="481">
      <c r="R481" s="9"/>
    </row>
    <row r="482">
      <c r="R482" s="9"/>
    </row>
    <row r="483">
      <c r="R483" s="9"/>
    </row>
    <row r="484">
      <c r="R484" s="9"/>
    </row>
    <row r="485">
      <c r="R485" s="9"/>
    </row>
    <row r="486">
      <c r="R486" s="9"/>
    </row>
    <row r="487">
      <c r="R487" s="9"/>
    </row>
    <row r="488">
      <c r="R488" s="9"/>
    </row>
    <row r="489">
      <c r="R489" s="9"/>
    </row>
    <row r="490">
      <c r="R490" s="9"/>
    </row>
    <row r="491">
      <c r="R491" s="9"/>
    </row>
    <row r="492">
      <c r="R492" s="9"/>
    </row>
    <row r="493">
      <c r="R493" s="9"/>
    </row>
    <row r="494">
      <c r="R494" s="9"/>
    </row>
    <row r="495">
      <c r="R495" s="9"/>
    </row>
    <row r="496">
      <c r="R496" s="9"/>
    </row>
    <row r="497">
      <c r="R497" s="9"/>
    </row>
    <row r="498">
      <c r="R498" s="9"/>
    </row>
    <row r="499">
      <c r="R499" s="9"/>
    </row>
    <row r="500">
      <c r="R500" s="9"/>
    </row>
    <row r="501">
      <c r="R501" s="9"/>
    </row>
    <row r="502">
      <c r="R502" s="9"/>
    </row>
    <row r="503">
      <c r="R503" s="9"/>
    </row>
    <row r="504">
      <c r="R504" s="9"/>
    </row>
    <row r="505">
      <c r="R505" s="9"/>
    </row>
    <row r="506">
      <c r="R506" s="9"/>
    </row>
    <row r="507">
      <c r="R507" s="9"/>
    </row>
    <row r="508">
      <c r="R508" s="9"/>
    </row>
    <row r="509">
      <c r="R509" s="9"/>
    </row>
    <row r="510">
      <c r="R510" s="9"/>
    </row>
    <row r="511">
      <c r="R511" s="9"/>
    </row>
    <row r="512">
      <c r="R512" s="9"/>
    </row>
    <row r="513">
      <c r="R513" s="9"/>
    </row>
    <row r="514">
      <c r="R514" s="9"/>
    </row>
    <row r="515">
      <c r="R515" s="9"/>
    </row>
    <row r="516">
      <c r="R516" s="9"/>
    </row>
    <row r="517">
      <c r="R517" s="9"/>
    </row>
    <row r="518">
      <c r="R518" s="9"/>
    </row>
    <row r="519">
      <c r="R519" s="9"/>
    </row>
    <row r="520">
      <c r="R520" s="9"/>
    </row>
    <row r="521">
      <c r="R521" s="9"/>
    </row>
    <row r="522">
      <c r="R522" s="9"/>
    </row>
    <row r="523">
      <c r="R523" s="9"/>
    </row>
    <row r="524">
      <c r="R524" s="9"/>
    </row>
    <row r="525">
      <c r="R525" s="9"/>
    </row>
    <row r="526">
      <c r="R526" s="9"/>
    </row>
    <row r="527">
      <c r="R527" s="9"/>
    </row>
    <row r="528">
      <c r="R528" s="9"/>
    </row>
    <row r="529">
      <c r="R529" s="9"/>
    </row>
    <row r="530">
      <c r="R530" s="9"/>
    </row>
    <row r="531">
      <c r="R531" s="9"/>
    </row>
    <row r="532">
      <c r="R532" s="9"/>
    </row>
    <row r="533">
      <c r="R533" s="9"/>
    </row>
    <row r="534">
      <c r="R534" s="9"/>
    </row>
    <row r="535">
      <c r="R535" s="9"/>
    </row>
    <row r="536">
      <c r="R536" s="9"/>
    </row>
    <row r="537">
      <c r="R537" s="9"/>
    </row>
    <row r="538">
      <c r="R538" s="9"/>
    </row>
    <row r="539">
      <c r="R539" s="9"/>
    </row>
    <row r="540">
      <c r="R540" s="9"/>
    </row>
    <row r="541">
      <c r="R541" s="9"/>
    </row>
    <row r="542">
      <c r="R542" s="9"/>
    </row>
    <row r="543">
      <c r="R543" s="9"/>
    </row>
    <row r="544">
      <c r="R544" s="9"/>
    </row>
    <row r="545">
      <c r="R545" s="9"/>
    </row>
    <row r="546">
      <c r="R546" s="9"/>
    </row>
    <row r="547">
      <c r="R547" s="9"/>
    </row>
    <row r="548">
      <c r="R548" s="9"/>
    </row>
    <row r="549">
      <c r="R549" s="9"/>
    </row>
    <row r="550">
      <c r="R550" s="9"/>
    </row>
    <row r="551">
      <c r="R551" s="9"/>
    </row>
    <row r="552">
      <c r="R552" s="9"/>
    </row>
    <row r="553">
      <c r="R553" s="9"/>
    </row>
    <row r="554">
      <c r="R554" s="9"/>
    </row>
    <row r="555">
      <c r="R555" s="9"/>
    </row>
    <row r="556">
      <c r="R556" s="9"/>
    </row>
    <row r="557">
      <c r="R557" s="9"/>
    </row>
    <row r="558">
      <c r="R558" s="9"/>
    </row>
    <row r="559">
      <c r="R559" s="9"/>
    </row>
    <row r="560">
      <c r="R560" s="9"/>
    </row>
    <row r="561">
      <c r="R561" s="9"/>
    </row>
    <row r="562">
      <c r="R562" s="9"/>
    </row>
    <row r="563">
      <c r="R563" s="9"/>
    </row>
    <row r="564">
      <c r="R564" s="9"/>
    </row>
    <row r="565">
      <c r="R565" s="9"/>
    </row>
    <row r="566">
      <c r="R566" s="9"/>
    </row>
    <row r="567">
      <c r="R567" s="9"/>
    </row>
    <row r="568">
      <c r="R568" s="9"/>
    </row>
    <row r="569">
      <c r="R569" s="9"/>
    </row>
    <row r="570">
      <c r="R570" s="9"/>
    </row>
    <row r="571">
      <c r="R571" s="9"/>
    </row>
    <row r="572">
      <c r="R572" s="9"/>
    </row>
    <row r="573">
      <c r="R573" s="9"/>
    </row>
    <row r="574">
      <c r="R574" s="9"/>
    </row>
    <row r="575">
      <c r="R575" s="9"/>
    </row>
    <row r="576">
      <c r="R576" s="9"/>
    </row>
    <row r="577">
      <c r="R577" s="9"/>
    </row>
    <row r="578">
      <c r="R578" s="9"/>
    </row>
    <row r="579">
      <c r="R579" s="9"/>
    </row>
    <row r="580">
      <c r="R580" s="9"/>
    </row>
    <row r="581">
      <c r="R581" s="9"/>
    </row>
    <row r="582">
      <c r="R582" s="9"/>
    </row>
    <row r="583">
      <c r="R583" s="9"/>
    </row>
    <row r="584">
      <c r="R584" s="9"/>
    </row>
    <row r="585">
      <c r="R585" s="9"/>
    </row>
    <row r="586">
      <c r="R586" s="9"/>
    </row>
    <row r="587">
      <c r="R587" s="9"/>
    </row>
    <row r="588">
      <c r="R588" s="9"/>
    </row>
    <row r="589">
      <c r="R589" s="9"/>
    </row>
    <row r="590">
      <c r="R590" s="9"/>
    </row>
    <row r="591">
      <c r="R591" s="9"/>
    </row>
    <row r="592">
      <c r="R592" s="9"/>
    </row>
    <row r="593">
      <c r="R593" s="9"/>
    </row>
    <row r="594">
      <c r="R594" s="9"/>
    </row>
    <row r="595">
      <c r="R595" s="9"/>
    </row>
    <row r="596">
      <c r="R596" s="9"/>
    </row>
    <row r="597">
      <c r="R597" s="9"/>
    </row>
    <row r="598">
      <c r="R598" s="9"/>
    </row>
    <row r="599">
      <c r="R599" s="9"/>
    </row>
    <row r="600">
      <c r="R600" s="9"/>
    </row>
    <row r="601">
      <c r="R601" s="9"/>
    </row>
    <row r="602">
      <c r="R602" s="9"/>
    </row>
    <row r="603">
      <c r="R603" s="9"/>
    </row>
    <row r="604">
      <c r="R604" s="9"/>
    </row>
    <row r="605">
      <c r="R605" s="9"/>
    </row>
    <row r="606">
      <c r="R606" s="9"/>
    </row>
    <row r="607">
      <c r="R607" s="9"/>
    </row>
    <row r="608">
      <c r="R608" s="9"/>
    </row>
    <row r="609">
      <c r="R609" s="9"/>
    </row>
    <row r="610">
      <c r="R610" s="9"/>
    </row>
    <row r="611">
      <c r="R611" s="9"/>
    </row>
    <row r="612">
      <c r="R612" s="9"/>
    </row>
    <row r="613">
      <c r="R613" s="9"/>
    </row>
    <row r="614">
      <c r="R614" s="9"/>
    </row>
    <row r="615">
      <c r="R615" s="9"/>
    </row>
    <row r="616">
      <c r="R616" s="9"/>
    </row>
    <row r="617">
      <c r="R617" s="9"/>
    </row>
    <row r="618">
      <c r="R618" s="9"/>
    </row>
    <row r="619">
      <c r="R619" s="9"/>
    </row>
    <row r="620">
      <c r="R620" s="9"/>
    </row>
    <row r="621">
      <c r="R621" s="9"/>
    </row>
    <row r="622">
      <c r="R622" s="9"/>
    </row>
    <row r="623">
      <c r="R623" s="9"/>
    </row>
    <row r="624">
      <c r="R624" s="9"/>
    </row>
    <row r="625">
      <c r="R625" s="9"/>
    </row>
    <row r="626">
      <c r="R626" s="9"/>
    </row>
    <row r="627">
      <c r="R627" s="9"/>
    </row>
    <row r="628">
      <c r="R628" s="9"/>
    </row>
    <row r="629">
      <c r="R629" s="9"/>
    </row>
    <row r="630">
      <c r="R630" s="9"/>
    </row>
    <row r="631">
      <c r="R631" s="9"/>
    </row>
    <row r="632">
      <c r="R632" s="9"/>
    </row>
    <row r="633">
      <c r="R633" s="9"/>
    </row>
    <row r="634">
      <c r="R634" s="9"/>
    </row>
    <row r="635">
      <c r="R635" s="9"/>
    </row>
    <row r="636">
      <c r="R636" s="9"/>
    </row>
    <row r="637">
      <c r="R637" s="9"/>
    </row>
    <row r="638">
      <c r="R638" s="9"/>
    </row>
    <row r="639">
      <c r="R639" s="9"/>
    </row>
    <row r="640">
      <c r="R640" s="9"/>
    </row>
    <row r="641">
      <c r="R641" s="9"/>
    </row>
    <row r="642">
      <c r="R642" s="9"/>
    </row>
    <row r="643">
      <c r="R643" s="9"/>
    </row>
    <row r="644">
      <c r="R644" s="9"/>
    </row>
    <row r="645">
      <c r="R645" s="9"/>
    </row>
    <row r="646">
      <c r="R646" s="9"/>
    </row>
    <row r="647">
      <c r="R647" s="9"/>
    </row>
    <row r="648">
      <c r="R648" s="9"/>
    </row>
    <row r="649">
      <c r="R649" s="9"/>
    </row>
    <row r="650">
      <c r="R650" s="9"/>
    </row>
    <row r="651">
      <c r="R651" s="9"/>
    </row>
    <row r="652">
      <c r="R652" s="9"/>
    </row>
    <row r="653">
      <c r="R653" s="9"/>
    </row>
    <row r="654">
      <c r="R654" s="9"/>
    </row>
    <row r="655">
      <c r="R655" s="9"/>
    </row>
    <row r="656">
      <c r="R656" s="9"/>
    </row>
    <row r="657">
      <c r="R657" s="9"/>
    </row>
    <row r="658">
      <c r="R658" s="9"/>
    </row>
    <row r="659">
      <c r="R659" s="9"/>
    </row>
    <row r="660">
      <c r="R660" s="9"/>
    </row>
    <row r="661">
      <c r="R661" s="9"/>
    </row>
    <row r="662">
      <c r="R662" s="9"/>
    </row>
    <row r="663">
      <c r="R663" s="9"/>
    </row>
    <row r="664">
      <c r="R664" s="9"/>
    </row>
    <row r="665">
      <c r="R665" s="9"/>
    </row>
    <row r="666">
      <c r="R666" s="9"/>
    </row>
    <row r="667">
      <c r="R667" s="9"/>
    </row>
    <row r="668">
      <c r="R668" s="9"/>
    </row>
    <row r="669">
      <c r="R669" s="9"/>
    </row>
    <row r="670">
      <c r="R670" s="9"/>
    </row>
    <row r="671">
      <c r="R671" s="9"/>
    </row>
    <row r="672">
      <c r="R672" s="9"/>
    </row>
    <row r="673">
      <c r="R673" s="9"/>
    </row>
    <row r="674">
      <c r="R674" s="9"/>
    </row>
    <row r="675">
      <c r="R675" s="9"/>
    </row>
    <row r="676">
      <c r="R676" s="9"/>
    </row>
    <row r="677">
      <c r="R677" s="9"/>
    </row>
    <row r="678">
      <c r="R678" s="9"/>
    </row>
    <row r="679">
      <c r="R679" s="9"/>
    </row>
    <row r="680">
      <c r="R680" s="9"/>
    </row>
    <row r="681">
      <c r="R681" s="9"/>
    </row>
    <row r="682">
      <c r="R682" s="9"/>
    </row>
    <row r="683">
      <c r="R683" s="9"/>
    </row>
    <row r="684">
      <c r="R684" s="9"/>
    </row>
    <row r="685">
      <c r="R685" s="9"/>
    </row>
    <row r="686">
      <c r="R686" s="9"/>
    </row>
    <row r="687">
      <c r="R687" s="9"/>
    </row>
    <row r="688">
      <c r="R688" s="9"/>
    </row>
    <row r="689">
      <c r="R689" s="9"/>
    </row>
    <row r="690">
      <c r="R690" s="9"/>
    </row>
    <row r="691">
      <c r="R691" s="9"/>
    </row>
    <row r="692">
      <c r="R692" s="9"/>
    </row>
    <row r="693">
      <c r="R693" s="9"/>
    </row>
    <row r="694">
      <c r="R694" s="9"/>
    </row>
    <row r="695">
      <c r="R695" s="9"/>
    </row>
    <row r="696">
      <c r="R696" s="9"/>
    </row>
    <row r="697">
      <c r="R697" s="9"/>
    </row>
    <row r="698">
      <c r="R698" s="9"/>
    </row>
    <row r="699">
      <c r="R699" s="9"/>
    </row>
    <row r="700">
      <c r="R700" s="9"/>
    </row>
    <row r="701">
      <c r="R701" s="9"/>
    </row>
    <row r="702">
      <c r="R702" s="9"/>
    </row>
    <row r="703">
      <c r="R703" s="9"/>
    </row>
    <row r="704">
      <c r="R704" s="9"/>
    </row>
    <row r="705">
      <c r="R705" s="9"/>
    </row>
    <row r="706">
      <c r="R706" s="9"/>
    </row>
    <row r="707">
      <c r="R707" s="9"/>
    </row>
    <row r="708">
      <c r="R708" s="9"/>
    </row>
    <row r="709">
      <c r="R709" s="9"/>
    </row>
    <row r="710">
      <c r="R710" s="9"/>
    </row>
    <row r="711">
      <c r="R711" s="9"/>
    </row>
    <row r="712">
      <c r="R712" s="9"/>
    </row>
    <row r="713">
      <c r="R713" s="9"/>
    </row>
    <row r="714">
      <c r="R714" s="9"/>
    </row>
    <row r="715">
      <c r="R715" s="9"/>
    </row>
    <row r="716">
      <c r="R716" s="9"/>
    </row>
    <row r="717">
      <c r="R717" s="9"/>
    </row>
    <row r="718">
      <c r="R718" s="9"/>
    </row>
    <row r="719">
      <c r="R719" s="9"/>
    </row>
    <row r="720">
      <c r="R720" s="9"/>
    </row>
    <row r="721">
      <c r="R721" s="9"/>
    </row>
    <row r="722">
      <c r="R722" s="9"/>
    </row>
    <row r="723">
      <c r="R723" s="9"/>
    </row>
    <row r="724">
      <c r="R724" s="9"/>
    </row>
    <row r="725">
      <c r="R725" s="9"/>
    </row>
    <row r="726">
      <c r="R726" s="9"/>
    </row>
    <row r="727">
      <c r="R727" s="9"/>
    </row>
    <row r="728">
      <c r="R728" s="9"/>
    </row>
    <row r="729">
      <c r="R729" s="9"/>
    </row>
    <row r="730">
      <c r="R730" s="9"/>
    </row>
    <row r="731">
      <c r="R731" s="9"/>
    </row>
    <row r="732">
      <c r="R732" s="9"/>
    </row>
    <row r="733">
      <c r="R733" s="9"/>
    </row>
    <row r="734">
      <c r="R734" s="9"/>
    </row>
    <row r="735">
      <c r="R735" s="9"/>
    </row>
    <row r="736">
      <c r="R736" s="9"/>
    </row>
    <row r="737">
      <c r="R737" s="9"/>
    </row>
    <row r="738">
      <c r="R738" s="9"/>
    </row>
    <row r="739">
      <c r="R739" s="9"/>
    </row>
    <row r="740">
      <c r="R740" s="9"/>
    </row>
    <row r="741">
      <c r="R741" s="9"/>
    </row>
    <row r="742">
      <c r="R742" s="9"/>
    </row>
    <row r="743">
      <c r="R743" s="9"/>
    </row>
    <row r="744">
      <c r="R744" s="9"/>
    </row>
    <row r="745">
      <c r="R745" s="9"/>
    </row>
    <row r="746">
      <c r="R746" s="9"/>
    </row>
    <row r="747">
      <c r="R747" s="9"/>
    </row>
    <row r="748">
      <c r="R748" s="9"/>
    </row>
    <row r="749">
      <c r="R749" s="9"/>
    </row>
    <row r="750">
      <c r="R750" s="9"/>
    </row>
    <row r="751">
      <c r="R751" s="9"/>
    </row>
    <row r="752">
      <c r="R752" s="9"/>
    </row>
    <row r="753">
      <c r="R753" s="9"/>
    </row>
    <row r="754">
      <c r="R754" s="9"/>
    </row>
    <row r="755">
      <c r="R755" s="9"/>
    </row>
    <row r="756">
      <c r="R756" s="9"/>
    </row>
    <row r="757">
      <c r="R757" s="9"/>
    </row>
    <row r="758">
      <c r="R758" s="9"/>
    </row>
    <row r="759">
      <c r="R759" s="9"/>
    </row>
    <row r="760">
      <c r="R760" s="9"/>
    </row>
    <row r="761">
      <c r="R761" s="9"/>
    </row>
    <row r="762">
      <c r="R762" s="9"/>
    </row>
    <row r="763">
      <c r="R763" s="9"/>
    </row>
    <row r="764">
      <c r="R764" s="9"/>
    </row>
    <row r="765">
      <c r="R765" s="9"/>
    </row>
    <row r="766">
      <c r="R766" s="9"/>
    </row>
    <row r="767">
      <c r="R767" s="9"/>
    </row>
    <row r="768">
      <c r="R768" s="9"/>
    </row>
    <row r="769">
      <c r="R769" s="9"/>
    </row>
    <row r="770">
      <c r="R770" s="9"/>
    </row>
    <row r="771">
      <c r="R771" s="9"/>
    </row>
    <row r="772">
      <c r="R772" s="9"/>
    </row>
    <row r="773">
      <c r="R773" s="9"/>
    </row>
    <row r="774">
      <c r="R774" s="9"/>
    </row>
    <row r="775">
      <c r="R775" s="9"/>
    </row>
    <row r="776">
      <c r="R776" s="9"/>
    </row>
    <row r="777">
      <c r="R777" s="9"/>
    </row>
    <row r="778">
      <c r="R778" s="9"/>
    </row>
    <row r="779">
      <c r="R779" s="9"/>
    </row>
    <row r="780">
      <c r="R780" s="9"/>
    </row>
    <row r="781">
      <c r="R781" s="9"/>
    </row>
    <row r="782">
      <c r="R782" s="9"/>
    </row>
    <row r="783">
      <c r="R783" s="9"/>
    </row>
    <row r="784">
      <c r="R784" s="9"/>
    </row>
    <row r="785">
      <c r="R785" s="9"/>
    </row>
    <row r="786">
      <c r="R786" s="9"/>
    </row>
    <row r="787">
      <c r="R787" s="9"/>
    </row>
    <row r="788">
      <c r="R788" s="9"/>
    </row>
    <row r="789">
      <c r="R789" s="9"/>
    </row>
    <row r="790">
      <c r="R790" s="9"/>
    </row>
    <row r="791">
      <c r="R791" s="9"/>
    </row>
    <row r="792">
      <c r="R792" s="9"/>
    </row>
    <row r="793">
      <c r="R793" s="9"/>
    </row>
    <row r="794">
      <c r="R794" s="9"/>
    </row>
    <row r="795">
      <c r="R795" s="9"/>
    </row>
    <row r="796">
      <c r="R796" s="9"/>
    </row>
    <row r="797">
      <c r="R797" s="9"/>
    </row>
    <row r="798">
      <c r="R798" s="9"/>
    </row>
    <row r="799">
      <c r="R799" s="9"/>
    </row>
    <row r="800">
      <c r="R800" s="9"/>
    </row>
    <row r="801">
      <c r="R801" s="9"/>
    </row>
    <row r="802">
      <c r="R802" s="9"/>
    </row>
    <row r="803">
      <c r="R803" s="9"/>
    </row>
    <row r="804">
      <c r="R804" s="9"/>
    </row>
    <row r="805">
      <c r="R805" s="9"/>
    </row>
    <row r="806">
      <c r="R806" s="9"/>
    </row>
    <row r="807">
      <c r="R807" s="9"/>
    </row>
    <row r="808">
      <c r="R808" s="9"/>
    </row>
    <row r="809">
      <c r="R809" s="9"/>
    </row>
    <row r="810">
      <c r="R810" s="9"/>
    </row>
    <row r="811">
      <c r="R811" s="9"/>
    </row>
    <row r="812">
      <c r="R812" s="9"/>
    </row>
    <row r="813">
      <c r="R813" s="9"/>
    </row>
    <row r="814">
      <c r="R814" s="9"/>
    </row>
    <row r="815">
      <c r="R815" s="9"/>
    </row>
    <row r="816">
      <c r="R816" s="9"/>
    </row>
    <row r="817">
      <c r="R817" s="9"/>
    </row>
    <row r="818">
      <c r="R818" s="9"/>
    </row>
    <row r="819">
      <c r="R819" s="9"/>
    </row>
    <row r="820">
      <c r="R820" s="9"/>
    </row>
    <row r="821">
      <c r="R821" s="9"/>
    </row>
    <row r="822">
      <c r="R822" s="9"/>
    </row>
    <row r="823">
      <c r="R823" s="9"/>
    </row>
    <row r="824">
      <c r="R824" s="9"/>
    </row>
    <row r="825">
      <c r="R825" s="9"/>
    </row>
    <row r="826">
      <c r="R826" s="9"/>
    </row>
    <row r="827">
      <c r="R827" s="9"/>
    </row>
    <row r="828">
      <c r="R828" s="9"/>
    </row>
    <row r="829">
      <c r="R829" s="9"/>
    </row>
    <row r="830">
      <c r="R830" s="9"/>
    </row>
    <row r="831">
      <c r="R831" s="9"/>
    </row>
    <row r="832">
      <c r="R832" s="9"/>
    </row>
    <row r="833">
      <c r="R833" s="9"/>
    </row>
    <row r="834">
      <c r="R834" s="9"/>
    </row>
    <row r="835">
      <c r="R835" s="9"/>
    </row>
    <row r="836">
      <c r="R836" s="9"/>
    </row>
    <row r="837">
      <c r="R837" s="9"/>
    </row>
    <row r="838">
      <c r="R838" s="9"/>
    </row>
    <row r="839">
      <c r="R839" s="9"/>
    </row>
    <row r="840">
      <c r="R840" s="9"/>
    </row>
    <row r="841">
      <c r="R841" s="9"/>
    </row>
    <row r="842">
      <c r="R842" s="9"/>
    </row>
    <row r="843">
      <c r="R843" s="9"/>
    </row>
    <row r="844">
      <c r="R844" s="9"/>
    </row>
    <row r="845">
      <c r="R845" s="9"/>
    </row>
    <row r="846">
      <c r="R846" s="9"/>
    </row>
    <row r="847">
      <c r="R847" s="9"/>
    </row>
    <row r="848">
      <c r="R848" s="9"/>
    </row>
    <row r="849">
      <c r="R849" s="9"/>
    </row>
    <row r="850">
      <c r="R850" s="9"/>
    </row>
    <row r="851">
      <c r="R851" s="9"/>
    </row>
    <row r="852">
      <c r="R852" s="9"/>
    </row>
    <row r="853">
      <c r="R853" s="9"/>
    </row>
    <row r="854">
      <c r="R854" s="9"/>
    </row>
    <row r="855">
      <c r="R855" s="9"/>
    </row>
    <row r="856">
      <c r="R856" s="9"/>
    </row>
    <row r="857">
      <c r="R857" s="9"/>
    </row>
    <row r="858">
      <c r="R858" s="9"/>
    </row>
    <row r="859">
      <c r="R859" s="9"/>
    </row>
    <row r="860">
      <c r="R860" s="9"/>
    </row>
    <row r="861">
      <c r="R861" s="9"/>
    </row>
    <row r="862">
      <c r="R862" s="9"/>
    </row>
    <row r="863">
      <c r="R863" s="9"/>
    </row>
    <row r="864">
      <c r="R864" s="9"/>
    </row>
    <row r="865">
      <c r="R865" s="9"/>
    </row>
    <row r="866">
      <c r="R866" s="9"/>
    </row>
    <row r="867">
      <c r="R867" s="9"/>
    </row>
    <row r="868">
      <c r="R868" s="9"/>
    </row>
    <row r="869">
      <c r="R869" s="9"/>
    </row>
    <row r="870">
      <c r="R870" s="9"/>
    </row>
    <row r="871">
      <c r="R871" s="9"/>
    </row>
    <row r="872">
      <c r="R872" s="9"/>
    </row>
    <row r="873">
      <c r="R873" s="9"/>
    </row>
    <row r="874">
      <c r="R874" s="9"/>
    </row>
    <row r="875">
      <c r="R875" s="9"/>
    </row>
    <row r="876">
      <c r="R876" s="9"/>
    </row>
    <row r="877">
      <c r="R877" s="9"/>
    </row>
    <row r="878">
      <c r="R878" s="9"/>
    </row>
    <row r="879">
      <c r="R879" s="9"/>
    </row>
    <row r="880">
      <c r="R880" s="9"/>
    </row>
    <row r="881">
      <c r="R881" s="9"/>
    </row>
    <row r="882">
      <c r="R882" s="9"/>
    </row>
    <row r="883">
      <c r="R883" s="9"/>
    </row>
    <row r="884">
      <c r="R884" s="9"/>
    </row>
    <row r="885">
      <c r="R885" s="9"/>
    </row>
    <row r="886">
      <c r="R886" s="9"/>
    </row>
    <row r="887">
      <c r="R887" s="9"/>
    </row>
    <row r="888">
      <c r="R888" s="9"/>
    </row>
    <row r="889">
      <c r="R889" s="9"/>
    </row>
    <row r="890">
      <c r="R890" s="9"/>
    </row>
    <row r="891">
      <c r="R891" s="9"/>
    </row>
    <row r="892">
      <c r="R892" s="9"/>
    </row>
    <row r="893">
      <c r="R893" s="9"/>
    </row>
    <row r="894">
      <c r="R894" s="9"/>
    </row>
    <row r="895">
      <c r="R895" s="9"/>
    </row>
    <row r="896">
      <c r="R896" s="9"/>
    </row>
    <row r="897">
      <c r="R897" s="9"/>
    </row>
    <row r="898">
      <c r="R898" s="9"/>
    </row>
    <row r="899">
      <c r="R899" s="9"/>
    </row>
    <row r="900">
      <c r="R900" s="9"/>
    </row>
    <row r="901">
      <c r="R901" s="9"/>
    </row>
    <row r="902">
      <c r="R902" s="9"/>
    </row>
    <row r="903">
      <c r="R903" s="9"/>
    </row>
    <row r="904">
      <c r="R904" s="9"/>
    </row>
    <row r="905">
      <c r="R905" s="9"/>
    </row>
    <row r="906">
      <c r="R906" s="9"/>
    </row>
    <row r="907">
      <c r="R907" s="9"/>
    </row>
    <row r="908">
      <c r="R908" s="9"/>
    </row>
    <row r="909">
      <c r="R909" s="9"/>
    </row>
    <row r="910">
      <c r="R910" s="9"/>
    </row>
    <row r="911">
      <c r="R911" s="9"/>
    </row>
    <row r="912">
      <c r="R912" s="9"/>
    </row>
    <row r="913">
      <c r="R913" s="9"/>
    </row>
    <row r="914">
      <c r="R914" s="9"/>
    </row>
    <row r="915">
      <c r="R915" s="9"/>
    </row>
    <row r="916">
      <c r="R916" s="9"/>
    </row>
    <row r="917">
      <c r="R917" s="9"/>
    </row>
    <row r="918">
      <c r="R918" s="9"/>
    </row>
    <row r="919">
      <c r="R919" s="9"/>
    </row>
    <row r="920">
      <c r="R920" s="9"/>
    </row>
    <row r="921">
      <c r="R921" s="9"/>
    </row>
    <row r="922">
      <c r="R922" s="9"/>
    </row>
    <row r="923">
      <c r="R923" s="9"/>
    </row>
    <row r="924">
      <c r="R924" s="9"/>
    </row>
    <row r="925">
      <c r="R925" s="9"/>
    </row>
    <row r="926">
      <c r="R926" s="9"/>
    </row>
    <row r="927">
      <c r="R927" s="9"/>
    </row>
    <row r="928">
      <c r="R928" s="9"/>
    </row>
    <row r="929">
      <c r="R929" s="9"/>
    </row>
    <row r="930">
      <c r="R930" s="9"/>
    </row>
    <row r="931">
      <c r="R931" s="9"/>
    </row>
    <row r="932">
      <c r="R932" s="9"/>
    </row>
    <row r="933">
      <c r="R933" s="9"/>
    </row>
    <row r="934">
      <c r="R934" s="9"/>
    </row>
    <row r="935">
      <c r="R935" s="9"/>
    </row>
    <row r="936">
      <c r="R936" s="9"/>
    </row>
    <row r="937">
      <c r="R937" s="9"/>
    </row>
    <row r="938">
      <c r="R938" s="9"/>
    </row>
    <row r="939">
      <c r="R939" s="9"/>
    </row>
    <row r="940">
      <c r="R940" s="9"/>
    </row>
    <row r="941">
      <c r="R941" s="9"/>
    </row>
    <row r="942">
      <c r="R942" s="9"/>
    </row>
    <row r="943">
      <c r="R943" s="9"/>
    </row>
    <row r="944">
      <c r="R944" s="9"/>
    </row>
    <row r="945">
      <c r="R945" s="9"/>
    </row>
    <row r="946">
      <c r="R946" s="9"/>
    </row>
    <row r="947">
      <c r="R947" s="9"/>
    </row>
    <row r="948">
      <c r="R948" s="9"/>
    </row>
    <row r="949">
      <c r="R949" s="9"/>
    </row>
    <row r="950">
      <c r="R950" s="9"/>
    </row>
    <row r="951">
      <c r="R951" s="9"/>
    </row>
    <row r="952">
      <c r="R952" s="9"/>
    </row>
    <row r="953">
      <c r="R953" s="9"/>
    </row>
    <row r="954">
      <c r="R954" s="9"/>
    </row>
    <row r="955">
      <c r="R955" s="9"/>
    </row>
    <row r="956">
      <c r="R956" s="9"/>
    </row>
    <row r="957">
      <c r="R957" s="9"/>
    </row>
    <row r="958">
      <c r="R958" s="9"/>
    </row>
    <row r="959">
      <c r="R959" s="9"/>
    </row>
    <row r="960">
      <c r="R960" s="9"/>
    </row>
    <row r="961">
      <c r="R961" s="9"/>
    </row>
    <row r="962">
      <c r="R962" s="9"/>
    </row>
    <row r="963">
      <c r="R963" s="9"/>
    </row>
    <row r="964">
      <c r="R964" s="9"/>
    </row>
    <row r="965">
      <c r="R965" s="9"/>
    </row>
    <row r="966">
      <c r="R966" s="9"/>
    </row>
    <row r="967">
      <c r="R967" s="9"/>
    </row>
    <row r="968">
      <c r="R968" s="9"/>
    </row>
    <row r="969">
      <c r="R969" s="9"/>
    </row>
    <row r="970">
      <c r="R970" s="9"/>
    </row>
    <row r="971">
      <c r="R971" s="9"/>
    </row>
    <row r="972">
      <c r="R972" s="9"/>
    </row>
    <row r="973">
      <c r="R973" s="9"/>
    </row>
    <row r="974">
      <c r="R974" s="9"/>
    </row>
    <row r="975">
      <c r="R975" s="9"/>
    </row>
    <row r="976">
      <c r="R976" s="9"/>
    </row>
    <row r="977">
      <c r="R977" s="9"/>
    </row>
    <row r="978">
      <c r="R978" s="9"/>
    </row>
    <row r="979">
      <c r="R979" s="9"/>
    </row>
    <row r="980">
      <c r="R980" s="9"/>
    </row>
    <row r="981">
      <c r="R981" s="9"/>
    </row>
    <row r="982">
      <c r="R982" s="9"/>
    </row>
    <row r="983">
      <c r="R983" s="9"/>
    </row>
    <row r="984">
      <c r="R984" s="9"/>
    </row>
    <row r="985">
      <c r="R985" s="9"/>
    </row>
    <row r="986">
      <c r="R986" s="9"/>
    </row>
    <row r="987">
      <c r="R987" s="9"/>
    </row>
    <row r="988">
      <c r="R988" s="9"/>
    </row>
    <row r="989">
      <c r="R989" s="9"/>
    </row>
    <row r="990">
      <c r="R990" s="9"/>
    </row>
    <row r="991">
      <c r="R991" s="9"/>
    </row>
    <row r="992">
      <c r="R992" s="9"/>
    </row>
    <row r="993">
      <c r="R993" s="9"/>
    </row>
    <row r="994">
      <c r="R994" s="9"/>
    </row>
    <row r="995">
      <c r="R995" s="9"/>
    </row>
    <row r="996">
      <c r="R996" s="9"/>
    </row>
    <row r="997">
      <c r="R997" s="9"/>
    </row>
    <row r="998">
      <c r="R998" s="9"/>
    </row>
  </sheetData>
  <drawing r:id="rId1"/>
</worksheet>
</file>